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cudac-my.sharepoint.com/personal/caden_puah_cud_ac_ae/Documents/Academic Performance and Effectiveness Unit/QS Rankings/Sustainability/2026 Submission/"/>
    </mc:Choice>
  </mc:AlternateContent>
  <xr:revisionPtr revIDLastSave="863" documentId="8_{CFDAFDBC-2CE9-49A3-A34A-1A1E94AB1FDD}" xr6:coauthVersionLast="47" xr6:coauthVersionMax="47" xr10:uidLastSave="{AB1F3BD3-3D84-4AD7-B182-C52D4A55DFF0}"/>
  <bookViews>
    <workbookView xWindow="-120" yWindow="-120" windowWidth="29040" windowHeight="17520" firstSheet="1" activeTab="1" xr2:uid="{00000000-000D-0000-FFFF-FFFF00000000}"/>
  </bookViews>
  <sheets>
    <sheet name="QS Hub_Sustainability Form" sheetId="2" state="hidden" r:id="rId1"/>
    <sheet name="CUD Website Draft" sheetId="9" r:id="rId2"/>
    <sheet name="Sheet4" sheetId="7" state="hidden" r:id="rId3"/>
    <sheet name="Notes" sheetId="8" state="hidden" r:id="rId4"/>
    <sheet name="Sheet1" sheetId="4" state="hidden" r:id="rId5"/>
  </sheets>
  <definedNames>
    <definedName name="_xlnm._FilterDatabase" localSheetId="0" hidden="1">'QS Hub_Sustainability Form'!$A$1:$H$51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8" l="1"/>
  <c r="C46" i="8"/>
  <c r="C39" i="8"/>
  <c r="D31" i="8"/>
  <c r="C31" i="8"/>
  <c r="C20" i="8"/>
  <c r="C12" i="8"/>
  <c r="C12" i="7"/>
  <c r="C3" i="7"/>
  <c r="C4" i="7"/>
  <c r="C5" i="7"/>
  <c r="C6" i="7"/>
  <c r="C7" i="7"/>
  <c r="C8" i="7"/>
  <c r="C9" i="7"/>
  <c r="C10" i="7"/>
  <c r="C2" i="7"/>
</calcChain>
</file>

<file path=xl/sharedStrings.xml><?xml version="1.0" encoding="utf-8"?>
<sst xmlns="http://schemas.openxmlformats.org/spreadsheetml/2006/main" count="997" uniqueCount="410">
  <si>
    <t>Category</t>
  </si>
  <si>
    <t>Lens</t>
  </si>
  <si>
    <t>Indicator</t>
  </si>
  <si>
    <t>Code</t>
  </si>
  <si>
    <t>Question in HUB</t>
  </si>
  <si>
    <t>Answer Options</t>
  </si>
  <si>
    <t>Answer Type</t>
  </si>
  <si>
    <t>Timeframe</t>
  </si>
  <si>
    <t>Annual Report</t>
  </si>
  <si>
    <t>Does your institution publish an annual report?</t>
  </si>
  <si>
    <t>Yes;No</t>
  </si>
  <si>
    <t>Binary</t>
  </si>
  <si>
    <t>Current</t>
  </si>
  <si>
    <t>If Yes, please upload/provide the link to your last annual report.</t>
  </si>
  <si>
    <t>Evidence</t>
  </si>
  <si>
    <t>File upload/URL</t>
  </si>
  <si>
    <t>Environmental Impact</t>
  </si>
  <si>
    <t>Environmental Education</t>
  </si>
  <si>
    <t>Climate Science and/or Sustainability Courses</t>
  </si>
  <si>
    <t>EE3</t>
  </si>
  <si>
    <t>Do you offer courses that teach specifically on climate science and/or environmental sustainability?</t>
  </si>
  <si>
    <t>They lead to the award of an officially recognised qualification that specifically refers to climate science and environmental sustainability (e.g., MSc in Climate Change: Science, Society and Solutions at the University of Manchester in the UK; BSc in Climate Science and Adaptation at the University of Newcastle, Australia)</t>
  </si>
  <si>
    <t>URL</t>
  </si>
  <si>
    <t>Environmental Research</t>
  </si>
  <si>
    <t>Research Center with Sustainability Focus</t>
  </si>
  <si>
    <t>ER3</t>
  </si>
  <si>
    <t>Presence of a Research Centre with a specific focus on environmental sustainability</t>
  </si>
  <si>
    <t>This Research Centre contributes (through curriculum, teaching and supervision) to the teaching of undergraduate programmes and/or postgraduate programmes.</t>
  </si>
  <si>
    <t>Environmental Sustainability</t>
  </si>
  <si>
    <t>Sustainable Procurement and Investment</t>
  </si>
  <si>
    <t>ES4</t>
  </si>
  <si>
    <t>Link to your institution’s sustainable procurement / purchasing policy.</t>
  </si>
  <si>
    <t>Current (up to 3 years old)</t>
  </si>
  <si>
    <t>Link to your institution’s sustainable investment policy.</t>
  </si>
  <si>
    <t>Student Society focused on Environmental Sustainability</t>
  </si>
  <si>
    <t>ES5</t>
  </si>
  <si>
    <t>Link to student led society whose purpose is to engage with sustainability.</t>
  </si>
  <si>
    <t>Net Zero Commitment</t>
  </si>
  <si>
    <t>ES6</t>
  </si>
  <si>
    <t>Please provide the year your institution has publicly committed to reaching net-zero. If you have not committed to this, please leave the evidence field blank.</t>
  </si>
  <si>
    <t>Year</t>
  </si>
  <si>
    <t>Emissions Efficiency</t>
  </si>
  <si>
    <t>ES7</t>
  </si>
  <si>
    <t>Does your university report its carbon emissions in line with the GHG Protocol Corporate Standard or another commonly used standard?</t>
  </si>
  <si>
    <t>Please provide the total Scope 1 and 2 carbon emissions in tCO2e (tonnes (t) of carbon dioxide (CO2) equivalent (e). Please see instructions.</t>
  </si>
  <si>
    <t>Total Scope 1 &amp; 2 emissions (tCO2e)</t>
  </si>
  <si>
    <t>Numeric</t>
  </si>
  <si>
    <t xml:space="preserve">Previous reporting year </t>
  </si>
  <si>
    <t>If you also report on Scope 3 emissions, please list your estimate here (tCO2e)</t>
  </si>
  <si>
    <t>Please submit your total campus building footprint. See instructions.</t>
  </si>
  <si>
    <t>Total campus building footprint in square meters (m2)</t>
  </si>
  <si>
    <t>Renewables Generated Onsite</t>
  </si>
  <si>
    <t>ES8</t>
  </si>
  <si>
    <t>Please add the amount of energy generated in campus through renewable sources, in kWh, for the last reporting year. This would include energy consumed, stored or sold on.</t>
  </si>
  <si>
    <t>Total energy from renewables (kWh)</t>
  </si>
  <si>
    <t>Progress Towards Target</t>
  </si>
  <si>
    <t>ES9</t>
  </si>
  <si>
    <t>Please enter the year you began recording your emissions to GHG standards - see the definition tab for more details.</t>
  </si>
  <si>
    <t xml:space="preserve">Year
</t>
  </si>
  <si>
    <t xml:space="preserve">The year you started measuring this to GHG standards. 2005 is the earliest year we will accept. </t>
  </si>
  <si>
    <t>Total Scope 1 &amp; 2 emissions for the baseline year (tco2e)</t>
  </si>
  <si>
    <t>Does your university have a carbon reduction target covering Scope 1 &amp; 2 emissions by at least 2050? If not, please leave the evidence field blank</t>
  </si>
  <si>
    <t>Policy on Climate Strategy</t>
  </si>
  <si>
    <t>ES10</t>
  </si>
  <si>
    <t>Link to your institution’s sustainability/climate action policy.</t>
  </si>
  <si>
    <t>Social Impact</t>
  </si>
  <si>
    <t>Equality</t>
  </si>
  <si>
    <t>Student Gender Ratio</t>
  </si>
  <si>
    <t>EQ2</t>
  </si>
  <si>
    <t>Students Female</t>
  </si>
  <si>
    <t>Full Time, Part Time, FTE</t>
  </si>
  <si>
    <t>Previous reporting year (academic)</t>
  </si>
  <si>
    <t>Students Other</t>
  </si>
  <si>
    <t>Faculty Gender Ratio</t>
  </si>
  <si>
    <t>EQ3</t>
  </si>
  <si>
    <t>Faculty Staff Male</t>
  </si>
  <si>
    <t>Faculty Staff Female</t>
  </si>
  <si>
    <t>Faculty Staff Other</t>
  </si>
  <si>
    <t>Women in Leadership Ratio</t>
  </si>
  <si>
    <t>EQ4</t>
  </si>
  <si>
    <t>Number of members in your senior leadership team</t>
  </si>
  <si>
    <t>Number of the above members of your senior leadership team who are male</t>
  </si>
  <si>
    <t>Equality, Diversity and Inclusion policy</t>
  </si>
  <si>
    <t>EQ5</t>
  </si>
  <si>
    <t>Does your institution have a current Equality, Diversity and Inclusion (EDI) policy?</t>
  </si>
  <si>
    <t xml:space="preserve">Age (Which of the following main protected characteristics are included in this policy?)
</t>
  </si>
  <si>
    <t>Gender or gender reassignment (Which of the following main protected characteristics are included in this policy?)</t>
  </si>
  <si>
    <t>Disability (Which of the following main protected characteristics are included in this policy?)</t>
  </si>
  <si>
    <t>Race (Which of the following main protected characteristics are included in this policy?)</t>
  </si>
  <si>
    <t>Religion or belief (Which of the following main protected characteristics are included in this policy?)</t>
  </si>
  <si>
    <t>Sexual orientation (Which of the following main protected characteristics are included in this policy?)</t>
  </si>
  <si>
    <t>Marriage and civil partnership (Which of the following main protected characteristics are included in this policy?)</t>
  </si>
  <si>
    <t>Refugee and asylum seekers (Which of the following main protected characteristics are included in this policy?)</t>
  </si>
  <si>
    <t>Pregnancy and maternity (Which of the following main protected characteristics are included in this policy?)</t>
  </si>
  <si>
    <t>Disability Support</t>
  </si>
  <si>
    <t>EQ7</t>
  </si>
  <si>
    <t>Do you offer support services for people with disabilities?</t>
  </si>
  <si>
    <t xml:space="preserve">Current </t>
  </si>
  <si>
    <t>Campus is easily accessible by people with disabilities</t>
  </si>
  <si>
    <t>Text</t>
  </si>
  <si>
    <t>Our university offers on-campus accommodation</t>
  </si>
  <si>
    <t>We have a reasonable accommodation policy or strategy for people with disabilities, including adequate funding</t>
  </si>
  <si>
    <t>Health and Wellbeing</t>
  </si>
  <si>
    <t>Health Provision on Campus</t>
  </si>
  <si>
    <t>HW2</t>
  </si>
  <si>
    <t>Do you provide on-campus or local health and wellbeing services?</t>
  </si>
  <si>
    <t>Provision of healthy and affordable food choices for all on campus</t>
  </si>
  <si>
    <t>Access to physical health-care services including information and education services</t>
  </si>
  <si>
    <t>Access to sexual and reproductive health-care services including information and education services</t>
  </si>
  <si>
    <t>Access to mental health support for both staff and students</t>
  </si>
  <si>
    <t>Knowledge Exchange</t>
  </si>
  <si>
    <t>Outreach and Community Engagement</t>
  </si>
  <si>
    <t>KE2</t>
  </si>
  <si>
    <t>Do you offer, manage or deliver outreach projects (education, health, information services, reading, community engagement, tutorials) for the local community?</t>
  </si>
  <si>
    <t>Governance</t>
  </si>
  <si>
    <t>Good Governance</t>
  </si>
  <si>
    <t>Ethics Culture</t>
  </si>
  <si>
    <t>GG1</t>
  </si>
  <si>
    <t>Do you have an equality, diversity and inclusion committee, office or officer (or the equivalent) tasked by the administration or governing body to advise on and implement policies, programmes and trainings related to diversity, equity, inclusion and human rights on campus?</t>
  </si>
  <si>
    <t>Existence of committee, office or officer</t>
  </si>
  <si>
    <t>Existence of anti-discrimination  policy</t>
  </si>
  <si>
    <t>Existence of anti-harassment policy</t>
  </si>
  <si>
    <t>Do you have an Anti-bribery and corruption policy?</t>
  </si>
  <si>
    <t xml:space="preserve">Existence of anti-bribery and corruption policy or equivalent
</t>
  </si>
  <si>
    <t>This policy has been reviewed in the last 3 years, i.e. on or after 2020 (tick if apply)</t>
  </si>
  <si>
    <t>Does your organisation support and facilitate a holistic ethical organisational culture?</t>
  </si>
  <si>
    <t>Our organisation develops clear ethical values (e.g., diversity, honesty, respect, fairness) and these are enshrined in a publicly available strategic document.</t>
  </si>
  <si>
    <t>Our university provides training based on those values at all levels of the organisation.</t>
  </si>
  <si>
    <t>There is an office for ethical compliance within our institution, with a designated official with oversight on ethical matters across the institution.</t>
  </si>
  <si>
    <t>Our organisation has an internal reporting system to assure the confidentiality of whistleblowers or a grievance procedure for staff concerning an employment matter</t>
  </si>
  <si>
    <t>Dedicated staff / team for Sustainable Development</t>
  </si>
  <si>
    <t>GG3</t>
  </si>
  <si>
    <t>Does your institution have a dedicated staff member or team whose sole responsibility is to advance sustainable development at the institution?  If so, please provide evidence.</t>
  </si>
  <si>
    <t>Transparent financial reporting</t>
  </si>
  <si>
    <t>GG4</t>
  </si>
  <si>
    <t>Does your institution publish their financial reports on an annual basis? If applicable, please tick as appropriate:</t>
  </si>
  <si>
    <t>Previous financial reporting year</t>
  </si>
  <si>
    <t>Expenditure</t>
  </si>
  <si>
    <t>Borrowing</t>
  </si>
  <si>
    <t>Surplus</t>
  </si>
  <si>
    <t>Does your institution publish their financial reports on an annual basis?</t>
  </si>
  <si>
    <t>Student's Union </t>
  </si>
  <si>
    <t>GG5</t>
  </si>
  <si>
    <t>Does your university have a student union?</t>
  </si>
  <si>
    <t>This student union is connected/affiliated to a wider national student union body</t>
  </si>
  <si>
    <t>The student union elects its leadership, allowing students to vote.</t>
  </si>
  <si>
    <t>Student Representation in Governance</t>
  </si>
  <si>
    <t>GG6</t>
  </si>
  <si>
    <t>Does your university’s governing body have student representation? If so, please share the webpage link. If not, please leave blank.</t>
  </si>
  <si>
    <t>Published governance minutes</t>
  </si>
  <si>
    <t>GG7</t>
  </si>
  <si>
    <t>Does your institution publicly share the decisions taken in your annual general meeting? If so, please share the link to these minutes.</t>
  </si>
  <si>
    <t>Previous reporting year</t>
  </si>
  <si>
    <t>Additional Information</t>
  </si>
  <si>
    <t>Your institution’s water consumption for the previous reporting year. Please use cubic meters (m3), where 1,000 L = 1 m3.</t>
  </si>
  <si>
    <t>Water consumption (m3)</t>
  </si>
  <si>
    <t>Your institution’s energy consumption for the previous reporting year. Please use kWh/year.</t>
  </si>
  <si>
    <t>Energy consumption (kWh/year)</t>
  </si>
  <si>
    <t>How many students receive a scholarship covering 100% of their fees?</t>
  </si>
  <si>
    <t>Student numbers</t>
  </si>
  <si>
    <t>How many students receive a scholarship covering at least 50% of fees?</t>
  </si>
  <si>
    <t>Does your institution provide mandatory annual dedicated training on Environment aspects of Sustainability?</t>
  </si>
  <si>
    <t>Students</t>
  </si>
  <si>
    <t>Staff</t>
  </si>
  <si>
    <t>Both</t>
  </si>
  <si>
    <t>Does your institution have an assessment tool for assessing sustainability literacy and knowledge of all staff (Academic and Professional)?</t>
  </si>
  <si>
    <t>If yes, is this tool Sulitest TASK?</t>
  </si>
  <si>
    <t>If no, please provide evidence of the assessment tool used.</t>
  </si>
  <si>
    <t>Does your institution have an assessment tool for assessing sustainability literacy and knowledge of all students?</t>
  </si>
  <si>
    <t>Does your institution provide mandatory annual dedicated training on Social aspects of Sustainability?</t>
  </si>
  <si>
    <t>Accepted - BSc Power &amp; Renewable Energy</t>
  </si>
  <si>
    <t>Accepted - Old document of "School of Sustainability"</t>
  </si>
  <si>
    <t>Accepted - https://www.cud.ac.ae/cud-esg/procurement-and-purchasing-policy</t>
  </si>
  <si>
    <t>Accepted - https://www.cud.ac.ae/cud-esg/sustainable-investment-policy?cud</t>
  </si>
  <si>
    <t>Accepted - https://www.cud.ac.ae/student-life/eco-lution-club</t>
  </si>
  <si>
    <t>Accepted - https://www.cud.ac.ae/sites/default/files/sdg/cud_reports/SDG17/17.3/SDG7.pdf</t>
  </si>
  <si>
    <t>No evidence</t>
  </si>
  <si>
    <t>Pending - 24000</t>
  </si>
  <si>
    <t>Accepted - 1200</t>
  </si>
  <si>
    <t>Not accepted - 2022</t>
  </si>
  <si>
    <t>Not accepted - 2456</t>
  </si>
  <si>
    <t>Accepted - https://www.cud.ac.ae/cud-esg/climate-action-and-environmental-sustainability</t>
  </si>
  <si>
    <t>Accepted from WUR</t>
  </si>
  <si>
    <t>N/A</t>
  </si>
  <si>
    <t>Accepted - 11</t>
  </si>
  <si>
    <t>Accepted - 6</t>
  </si>
  <si>
    <t>Accepted</t>
  </si>
  <si>
    <t>Accepted - https://www.cud.ac.ae/cud-esg/edi-equity-diversity-inclusion</t>
  </si>
  <si>
    <t>Accepted - https://www.cud.ac.ae/cud-esg/accessibility-and-support-services</t>
  </si>
  <si>
    <t>Accepted - https://www.cud.ac.ae/cud-esg/health-and-wellbeing-services</t>
  </si>
  <si>
    <t>Not ticked - https://www.cud.ac.ae/cud-esg/health-and-wellbeing-services</t>
  </si>
  <si>
    <t>Accepted - https://www.cud.ac.ae/cud-esg/community-and-outreach-initiatives</t>
  </si>
  <si>
    <t>Accepted - https://www.cud.ac.ae/cud-esg/diversity-and-inclusion-oversight-and-policies</t>
  </si>
  <si>
    <t>Accepted/not ticked - https://www.cud.ac.ae/cud-esg/diversity-and-inclusion-oversight-and-policies</t>
  </si>
  <si>
    <t>Accepted - https://www.cud.ac.ae/cud-esg/ethical-conduct?cud</t>
  </si>
  <si>
    <t>Accepted - https://www.cud.ac.ae/cud-esg/anti-bribery-and-corruption-policy</t>
  </si>
  <si>
    <t>Accepted - ticked</t>
  </si>
  <si>
    <t>Accepted - not ticked</t>
  </si>
  <si>
    <t>Accepted - https://www.cud.ac.ae/cud-esg/cud-student-council</t>
  </si>
  <si>
    <t>Not accepted - https://www.cud.ac.ae/sites/default/files/sustainability/Publication_and_Submission_of_Financial_Report_to_MoHESR.pdf</t>
  </si>
  <si>
    <t>Accepted - https://www.cud.ac.ae/cud-esg/sustainability-team</t>
  </si>
  <si>
    <t>Accepted - https://www.cud.ac.ae/cud-esg/cud-governing-body-management-and-structure</t>
  </si>
  <si>
    <t>Not accepted - unticked</t>
  </si>
  <si>
    <t>Pending - 1983</t>
  </si>
  <si>
    <t>Pending - 2477000</t>
  </si>
  <si>
    <t>No status - 61</t>
  </si>
  <si>
    <t>No status - 257</t>
  </si>
  <si>
    <t>Pending - Example: https://www.cud.ac.ae/news/cud-and-deloitte-spearhead-sustainability-training-greener-future  
Another example:
https://www.cud.ac.ae/sustainability/?utm_source=organic_channel</t>
  </si>
  <si>
    <t>Pending - ENV326: https://www.cud.ac.ae/cud-esg/current-syllabus
ENT 141: https://www.cud.ac.ae/cud-esg/course-syllabus-ent-141
ENT 142: https://www.cud.ac.ae/cud-esg/course-syllabus-ent-142</t>
  </si>
  <si>
    <t>We offer these courses and they are linked to officially recognised credits (e.g., European Credit Transfer and Accumulation System - ECTS, in Europe)</t>
  </si>
  <si>
    <t>The Research Centre has dedicated FTE staff.</t>
  </si>
  <si>
    <t>2025 Submission</t>
  </si>
  <si>
    <t>Weight</t>
  </si>
  <si>
    <t>Alumni Impact for Innovation</t>
  </si>
  <si>
    <t>Member of an officially recognised sustainable group</t>
  </si>
  <si>
    <t>Climate change commitment (staff perception)</t>
  </si>
  <si>
    <t>Publicly available strategy or policy on sustainable procurement and investment</t>
  </si>
  <si>
    <t xml:space="preserve">EO1 </t>
  </si>
  <si>
    <t>Employer Reputation</t>
  </si>
  <si>
    <t>Employability and Opportunities</t>
  </si>
  <si>
    <t xml:space="preserve">EO2 </t>
  </si>
  <si>
    <t>Research Impact on SDGs for Employment and Opportunities</t>
  </si>
  <si>
    <t xml:space="preserve">EO4 </t>
  </si>
  <si>
    <t>Employment and Opportunities National Statistics</t>
  </si>
  <si>
    <t xml:space="preserve">EO5 </t>
  </si>
  <si>
    <t>Partnerships with Industry</t>
  </si>
  <si>
    <t xml:space="preserve">EO6 </t>
  </si>
  <si>
    <t>Skills Satisfaction </t>
  </si>
  <si>
    <t xml:space="preserve">EQ1 </t>
  </si>
  <si>
    <t>Research Impact on SDG's for Equality</t>
  </si>
  <si>
    <t xml:space="preserve">EQ2 </t>
  </si>
  <si>
    <t xml:space="preserve">EQ3 </t>
  </si>
  <si>
    <t xml:space="preserve">EQ4 </t>
  </si>
  <si>
    <t xml:space="preserve">EQ5 </t>
  </si>
  <si>
    <t xml:space="preserve">EQ6 </t>
  </si>
  <si>
    <t>Academic Equality (Staff View)</t>
  </si>
  <si>
    <t xml:space="preserve">EQ7 </t>
  </si>
  <si>
    <t xml:space="preserve">EQ8 </t>
  </si>
  <si>
    <t>Equality National Statistics</t>
  </si>
  <si>
    <t xml:space="preserve">IE1 </t>
  </si>
  <si>
    <t>Research Impact on SDGs for Education</t>
  </si>
  <si>
    <t>Impact of Education</t>
  </si>
  <si>
    <t xml:space="preserve">IE2 </t>
  </si>
  <si>
    <t>Academic Reputation for Impact of Education</t>
  </si>
  <si>
    <t xml:space="preserve">IE3 </t>
  </si>
  <si>
    <t>Alumni Impact for Education</t>
  </si>
  <si>
    <t xml:space="preserve">IE4 </t>
  </si>
  <si>
    <t>Academic Freedom Index</t>
  </si>
  <si>
    <t xml:space="preserve">IE5 </t>
  </si>
  <si>
    <t>Impact of Education National Statistics</t>
  </si>
  <si>
    <t xml:space="preserve">KE1 </t>
  </si>
  <si>
    <t>Knowledge Exchange: Progress / Dissemination</t>
  </si>
  <si>
    <t xml:space="preserve">KE2 </t>
  </si>
  <si>
    <t xml:space="preserve">KE3 </t>
  </si>
  <si>
    <t>Staff perception</t>
  </si>
  <si>
    <t xml:space="preserve">KE4 </t>
  </si>
  <si>
    <t>Policy Citations (Social)</t>
  </si>
  <si>
    <t xml:space="preserve">GG1 </t>
  </si>
  <si>
    <t xml:space="preserve">GG2 </t>
  </si>
  <si>
    <t xml:space="preserve">GG3 </t>
  </si>
  <si>
    <t xml:space="preserve">GG4 </t>
  </si>
  <si>
    <t xml:space="preserve">GG5 </t>
  </si>
  <si>
    <t>Student's Union</t>
  </si>
  <si>
    <t xml:space="preserve">GG6 </t>
  </si>
  <si>
    <t xml:space="preserve">GG7 </t>
  </si>
  <si>
    <t xml:space="preserve">GG8 </t>
  </si>
  <si>
    <t>National Signatory to UN charter against torture</t>
  </si>
  <si>
    <t xml:space="preserve">GG9 </t>
  </si>
  <si>
    <t xml:space="preserve">GG10 </t>
  </si>
  <si>
    <t>Policy Citations (Governance)</t>
  </si>
  <si>
    <t>Source</t>
  </si>
  <si>
    <t>Academic Reputation Survey</t>
  </si>
  <si>
    <t>QS's own database - Alumni Impact &amp; Employment Outcomes</t>
  </si>
  <si>
    <t>Institutional Submission</t>
  </si>
  <si>
    <t>Elsevier</t>
  </si>
  <si>
    <t>QS's predetermined list</t>
  </si>
  <si>
    <t>Employer Reputation Survey</t>
  </si>
  <si>
    <t>World Bank</t>
  </si>
  <si>
    <t>Scopus, Forbes "The Global 2000" List</t>
  </si>
  <si>
    <t>UN SDG Reports, 3rd Party Reports</t>
  </si>
  <si>
    <t>3rd Party Reports</t>
  </si>
  <si>
    <t>UNESCO and World Bank</t>
  </si>
  <si>
    <t>OECD (ODA) Reports</t>
  </si>
  <si>
    <t>UN Websites</t>
  </si>
  <si>
    <t>Pending - https://www.cud.ac.ae/cud-esg/spotlight-on-social-sustainability-at-cud</t>
  </si>
  <si>
    <t>Document from Dr. Chureerat</t>
  </si>
  <si>
    <t>Page containing:
- 7.i Climate Action Policy
- 7.h Energy Efficiency in Renovations and New Construction Policy (EERNCP
- 9.e Purchasing and Inventory Control Policy (PICP)
- Content from previous submission (https://www.cud.ac.ae/cud-esg/sustainable-investment-policy?cud)</t>
  </si>
  <si>
    <t>https://www.cud.ac.ae/student-life/eco-lution-club</t>
  </si>
  <si>
    <t>Need input</t>
  </si>
  <si>
    <t>2026 Submission Proposal</t>
  </si>
  <si>
    <t xml:space="preserve">Updating the previous submission, add in links to the new Center for Sustainability's mission towards  UAE’s Net Zero 2050, UAE Vision 2031 and UAE 2070; </t>
  </si>
  <si>
    <t>Embed the policy 7.i. Climate Action Policy into the contents of the document (text): https://www.cud.ac.ae/sites/default/files/sustainability/ES4_Climate_Action_Policy.pdf</t>
  </si>
  <si>
    <t>We have a current EDI policy or equivalent</t>
  </si>
  <si>
    <t>Existence of Disability Support Office</t>
  </si>
  <si>
    <t>Combination and updated texts of:
- https://www.cud.ac.ae/cud-esg/edi-equity-diversity-inclusion
- https://www.cud.ac.ae/sdg/People/SDG_5_Gender_Equality/5.3/5.3.2.php
- https://www.cud.ac.ae/sdg/People/SDG_4_Quality_Education/4.3/4.3.5.php
- https://www.cud.ac.ae/sdg/Prosperity/SDG_10_Reduced_Inequalities/10.6/10.6.5.php
- https://www.cud.ac.ae/sdg/Prosperity/SDG_10_Reduced_Inequalities/10.6/10.6.6.php
- https://www.cud.ac.ae/sdg/Prosperity/SDG_10_Reduced_Inequalities/10.6/10.6.7.php
- https://www.cud.ac.ae/sdg/Prosperity/SDG_10_Reduced_Inequalities/10.6/10.6.8.php
- https://www.cud.ac.ae/sdg/Prosperity/SDG_10_Reduced_Inequalities/10.6/10.6.9.php
- https://www.cud.ac.ae/sdg/Prosperity/SDG_10_Reduced_Inequalities/10.6/10.6.10.php
-https://www.cud.ac.ae/sites/default/files/sdg/cud_reports/SDG10/10.6.11.pdf</t>
  </si>
  <si>
    <t>Combination and updated texts of:
- https://www.cud.ac.ae/cud-esg/accessibility-and-support-services
- https://www.cud.ac.ae/sdg/Prosperity/SDG_10_Reduced_Inequalities/10.6/10.6.5.php
- https://www.cud.ac.ae/sdg/Prosperity/SDG_10_Reduced_Inequalities/10.6/10.6.6.php
- https://www.cud.ac.ae/sdg/Prosperity/SDG_10_Reduced_Inequalities/10.6/10.6.7.php
- https://www.cud.ac.ae/sdg/Prosperity/SDG_10_Reduced_Inequalities/10.6/10.6.8.php
- https://www.cud.ac.ae/sdg/Prosperity/SDG_10_Reduced_Inequalities/10.6/10.6.9.php
- https://www.cud.ac.ae/sdg/Prosperity/SDG_10_Reduced_Inequalities/10.6/10.6.10.php</t>
  </si>
  <si>
    <t>Health and Wellbeing section will include all the current (revamped) content, plus:
- CUD Café's introduction - mission and vision, goal to provide affordable and healthy food for all CUD members
- New gym photos and mission/vision as well</t>
  </si>
  <si>
    <t>Embed all the articles' contents into the text, and add the new ones:
- https://www.cud.ac.ae/news/cud-communication-and-media-students-drive-social-impact-sanad-body-project
- https://www.cud.ac.ae/news/her-campus-her-community-emirati-women-leading-change-cud</t>
  </si>
  <si>
    <t>Revamp current text and include a main "officer" - Simran?
- Add also content from: https://www.cud.ac.ae/sdg/Prosperity/SDG_10_Reduced_Inequalities/10.6/10.6.5.php</t>
  </si>
  <si>
    <t>Revamp current text and embed:
- 1.n Non-Discrimination Policy (NDP
- 6.ac Safeguarding Policy (SP)
- 6.ad Student Safety Policy (SSP</t>
  </si>
  <si>
    <t>Revamp current text and embed:
- 10.b Anti-Corruption and Bribery Policy
- Add also anti-bribery text from staff handbook (https://www.cud.ac.ae/sites/default/files/sustainability/Staff_Handbook_Admin_2023_24.pdf)</t>
  </si>
  <si>
    <t>Yes</t>
  </si>
  <si>
    <t>Revamp text on CUD's values and policies: specifically our values on Integrity, Responsibility, and Respect, embed the contents from:
- https://www.cud.ac.ae/sites/default/files/sustainability/Staff_Handbook_Admin_2023_24.pdf
Highlighted policies:
- 10.b Anti-Corruption and Bribery Polic
- 6.ad Student Safety Policy (SSP)
- 5.b Employment Policy (EMP)
- 4.h Policy on Scientific Publications (PSP)
- 4.e Integrity in Research and Scholarship Policy (IRSP)
- 3.y Policy on Responsible Use of Generative Artificial Intelligence Tools (PAIT)</t>
  </si>
  <si>
    <t>Included in Dr. Chureerat's document</t>
  </si>
  <si>
    <t>Revamp current document and embed:
- 8.a Learning Resource Center Policy (LRCP) -- student council as part of learning resources council
- Student President of the Student Council: https://www.cud.ac.ae/news/her-campus-her-community-emirati-women-leading-change-cud
- https://www.linkedin.com/posts/ghada-abaido-68071565_i-am-incredibly-proud-of-my-senior-student-activity-7291364281726468096-OBa4
- https://www.cud.ac.ae/student-affairs/student-council</t>
  </si>
  <si>
    <t>Same link - https://www.cud.ac.ae/cud-esg/cud-governing-body-management-and-structure</t>
  </si>
  <si>
    <t>No</t>
  </si>
  <si>
    <t>Prepare a link of links - containing all we have
- BSc Power &amp; Renewable Energy
- BACHELOR OF SCIENCE IN PUBLIC HEALTH AND ENVIRONMENTAL HEALTH MANAGEMENT
- MASTER OF SCIENCE IN ENERGY EFFICIENCY AND SUSTAINABLE BUILDINGS
- POSTGRADUATE DIPLOMA IN ENERGY EFFICIENCY AND SUSTAINABLE BUILDINGS
- MASTER OF SCIENCE IN DESIGN INNOVATION FOR CIRCULAR ECONOMY</t>
  </si>
  <si>
    <t>Score</t>
  </si>
  <si>
    <t>0 or 100</t>
  </si>
  <si>
    <t>Not counted</t>
  </si>
  <si>
    <t>Access schemes for people with disabilities such as mentoring or other targeted support</t>
  </si>
  <si>
    <t>Our university has a recognised student union that represents both undergraduate and postgraduate students at university level</t>
  </si>
  <si>
    <t>Income</t>
  </si>
  <si>
    <t># Indicators</t>
  </si>
  <si>
    <t>CUD Score</t>
  </si>
  <si>
    <t>Total</t>
  </si>
  <si>
    <t>ES</t>
  </si>
  <si>
    <t>Submission</t>
  </si>
  <si>
    <t>QS's own database</t>
  </si>
  <si>
    <t>Academic Reputation Survey (CUD Faculty)</t>
  </si>
  <si>
    <t>Elsevier - SDG 8 (Decent Work &amp; Economic Growth), SDG 9 (Industry, innovation and Infrastructure) and SDG 16 (Peace, Justice &amp; Strong Institutions)</t>
  </si>
  <si>
    <t>EQ</t>
  </si>
  <si>
    <t>EO</t>
  </si>
  <si>
    <t>75 publications: Elsevier - SDG 5 (Gender Equality) and SDG 10 (Reduced Inequalities)</t>
  </si>
  <si>
    <t>need to update clause</t>
  </si>
  <si>
    <t>need to update this year (remind dr. Djeddi)</t>
  </si>
  <si>
    <t>IE</t>
  </si>
  <si>
    <t>73 publications - Elsevier - SDG 4 (Quality Education)</t>
  </si>
  <si>
    <t>KE</t>
  </si>
  <si>
    <t>Open-Access Publications</t>
  </si>
  <si>
    <t>44 publications - Elsevier - SDG 16 (Peace, Justice &amp; Strong Institutions)</t>
  </si>
  <si>
    <t>Dedicated staff / team for Sustainable Development (needs update and better writing)</t>
  </si>
  <si>
    <t>Section</t>
  </si>
  <si>
    <t>Sub-Section</t>
  </si>
  <si>
    <t>Description</t>
  </si>
  <si>
    <t>Content</t>
  </si>
  <si>
    <t>Our Commitment</t>
  </si>
  <si>
    <t>Vision, Mision, and Strategy</t>
  </si>
  <si>
    <t>The foundations - CUD's statement on Sustainability</t>
  </si>
  <si>
    <t>Includes CUD’s alignment with UAE Net Zero 2050, UAE Vision 2031, UAE Centennial 2071, UN SDGs, CUD's "ASPIRE" values; Message from the President.</t>
  </si>
  <si>
    <t>CUD's management structure</t>
  </si>
  <si>
    <t>&gt; Board of Trustees
&gt; Senior Management
&gt; Academic Council
&gt; Student Union and Representation in Governance</t>
  </si>
  <si>
    <t>Sustainability Council</t>
  </si>
  <si>
    <t>Environmental and Social Sustainability Council</t>
  </si>
  <si>
    <t>&gt; Council includes 1-2 BoT members, Sr Mgmt members, Faculty, Staff, and Student President
&gt; Sustainability Council commitment and roles in overseeing sustainability in CUD</t>
  </si>
  <si>
    <t>Institutional Policies</t>
  </si>
  <si>
    <t>All things policies</t>
  </si>
  <si>
    <t>&gt; Statement on how policies are drafted and approved
&gt; Policies on: 
- Climate Action
- Anti-Bribery
- Whistleblowing
- Ethical Conduct 
- Sustainable Procurement
- Sustainable Investments
- EDI 
- PoD (targeted support, equal access, accommodation, etc)</t>
  </si>
  <si>
    <t>Impact Reporting</t>
  </si>
  <si>
    <t>All reports on Sustainability</t>
  </si>
  <si>
    <t>&gt; Governance minutes (includes student president participation)
&gt; Sustainability Reports such as progress towards SDGs(?)
&gt; PRME from 2023 and 2025</t>
  </si>
  <si>
    <t>Education</t>
  </si>
  <si>
    <t>SDG Integrated Curriculum</t>
  </si>
  <si>
    <t>Sustainability intervowen in teaching (in ALL courses, not just those in sustainability)</t>
  </si>
  <si>
    <t>Sustainability Focused Programs</t>
  </si>
  <si>
    <t>Specifically programs and courses in sustainability</t>
  </si>
  <si>
    <t>&gt; BSc Power &amp; Renewable Energy
&gt; BACHELOR OF SCIENCE IN PUBLIC HEALTH AND ENVIRONMENTAL HEALTH MANAGEMENT
&gt; MASTER OF SCIENCE IN ENERGY EFFICIENCY AND SUSTAINABLE BUILDINGS
&gt; POSTGRADUATE DIPLOMA IN ENERGY EFFICIENCY AND SUSTAINABLE BUILDINGS
&gt; MASTER OF SCIENCE IN DESIGN INNOVATION FOR CIRCULAR ECONOMY</t>
  </si>
  <si>
    <t>Student-Led Sustainability Club</t>
  </si>
  <si>
    <t>Eco-lution</t>
  </si>
  <si>
    <t>Research: Center for Sustainability &amp; Innovation</t>
  </si>
  <si>
    <t>Why a specialised centre - research and ambassadors of CUD (our hub for interdisciplinary research)</t>
  </si>
  <si>
    <t xml:space="preserve">&gt; Purpose of centre
&gt; Members and roles
&gt; Sustainability pillars and strategy </t>
  </si>
  <si>
    <t>Eco-Health Innovation Research Group</t>
  </si>
  <si>
    <t>Focuses on understanding and addressing the complex interactions between environmental changes, biodiversity, and human health,</t>
  </si>
  <si>
    <t>&gt; Alignment with  SDG 2, SDG4, SDG5, SDG11, SDG13</t>
  </si>
  <si>
    <t>Innovative Health Systems and Technologies Research Group</t>
  </si>
  <si>
    <t>Aims to improve the efficiency, accessibility, and quality of health services by designing and testing new tools, data platforms, and processes that address unmet healthcare needs, directly contributing to Sustainable Development Goal 3 (Good Health and Well-being)</t>
  </si>
  <si>
    <t>&gt; Alignment with SDG3</t>
  </si>
  <si>
    <t xml:space="preserve">Wellbeing and Performance Research Group </t>
  </si>
  <si>
    <t>Examines factors influencing physical and mental wellness, developing evidence-based strategies for disease prevention, health promotion, and improving quality of life across diverse populations, directly supporting Sustainable Development Goal 3 (Good Health and Well-being).</t>
  </si>
  <si>
    <t>Operational Sustainability</t>
  </si>
  <si>
    <t>Path to Net Zero</t>
  </si>
  <si>
    <t>CUD's carbon reduction targets</t>
  </si>
  <si>
    <t>&gt; Public commitment to Net Zero
&gt; Current carbon emissions and goals to reach target</t>
  </si>
  <si>
    <t>Sustainable Infrastructure</t>
  </si>
  <si>
    <t>CUD infrastructure</t>
  </si>
  <si>
    <t>&gt; LEED/Dubai Green Building standards in our City Walk facilities
&gt; Water-refill stations
&gt; Campus waste management</t>
  </si>
  <si>
    <t>Social Responsibility</t>
  </si>
  <si>
    <t>EDI @ CUD</t>
  </si>
  <si>
    <t>Acts as a homepage to this section - Celebration of diversity in CUD</t>
  </si>
  <si>
    <t>&gt; People spotlight - PoD, 120+ nationalities, testimonials
&gt; Non-discrimination policy, EDI Policy (repeated)</t>
  </si>
  <si>
    <t>People of Determination</t>
  </si>
  <si>
    <t>Targeted support and accommodation</t>
  </si>
  <si>
    <t>&gt; Disability Support Office - MUST have
&gt; Accessbility services (tech, infrastructure)
&gt; Dedicated scholarship
&gt; Counselling (student success)</t>
  </si>
  <si>
    <t>Health &amp; Wellness</t>
  </si>
  <si>
    <t>Free on-campus services</t>
  </si>
  <si>
    <t>&gt; Health Centre
&gt; CUD Café - affordable and healthy food options
&gt; Gym</t>
  </si>
  <si>
    <t>Community Alliances</t>
  </si>
  <si>
    <t>Partnerships with government, NGOs, and industry</t>
  </si>
  <si>
    <t>&gt; Universities Climate Network, ECO Canada, and more
&gt; DEWA, RTA, etc.</t>
  </si>
  <si>
    <t>References</t>
  </si>
  <si>
    <t>&gt; https://www.staff.lu.se/employment/working-lund-university/sustainable-work
&gt; https://www.ucl.ac.uk/sustainable/what-ucl-does/campus-and-operations (https://www.ucl.ac.uk/sustainable/what-ucl-does/campus-and-operations/sustainable-built-environment)</t>
  </si>
  <si>
    <t>&gt; https://newinti.edu.my/esg/index.php/sustainable-policy-and-plan/
&gt; https://www.ucl.ac.uk/sustainable/sites/sustainable/files/fairtrade_policy_2024_0.pdf
&gt; https://www.ucl.ac.uk/commercial-procurement/ucls-supply-chain-policy
&gt; https://sustainablecampus.ajman.ac.ae/en/campus/sustainable-investment-policy</t>
  </si>
  <si>
    <t>&gt; https://www.lunduniversity.lu.se/student-life/student-organisations/student-associations#list
&gt; https://archive.sustainability.utoronto.ca/resources/inventories/student-group-inventory/?_gl=1*kg6rot*_ga*NjQ5MzQxMzIzLjE3NTkzOTA2NjY.*_ga_YKHNFVE304*czE3NzQ0Mzc3MzQkbzIkZzEkdDE3NzQ0Mzc3NDYkajQ4JGwwJGgw
&gt; https://sustainablecampus.ajman.ac.ae/en/campus/sustainability-clubs</t>
  </si>
  <si>
    <t>&gt; https://sustainablecampus.ajman.ac.ae/en/campus/sustainability-committee
&gt; https://newinti.edu.my/esg/index.php/action-council/
&gt; https://sustainability.nus.edu.sg/commitment/</t>
  </si>
  <si>
    <t>&gt; https://newinti.edu.my/esg/
&gt; https://www.lunduniversity.lu.se/about-university/university-glance/mission-vision-and-values/sustainability
&gt; https://www.lunduniversity.lu.se/sites/www.lunduniversity.lu.se/files/2024-03/strategy-sustainable-development-lund-university-2019-2026.pdf
&gt; https://www.ucl.ac.uk/sustainable/about-us/commitments-and-strategy/ucl-sustainability-plan-2025-35
&gt; https://sustainability.nus.edu.sg/commitment/statement-of-sustainability/</t>
  </si>
  <si>
    <t>&gt; https://archive.sustainability.utoronto.ca/resources/inventories/sustainability-course-inventory/?_gl=1*sniin3*_ga*NjQ5MzQxMzIzLjE3NTkzOTA2NjY.*_ga_YKHNFVE304*czE3NzQ1MTQxMTIkbzUkZzAkdDE3NzQ1MTQxMjAkajUyJGwwJGgw
&gt; https://sustainability.nus.edu.sg/education/#undergrad</t>
  </si>
  <si>
    <t>&gt; https://www.ucl.ac.uk/sustainable/what-ucl-does/research
&gt; https://www.lunduniversity.lu.se/research-and-innovation/focus-areas
&gt; http://ipublishing.intimal.edu.my/respub_main.html
&gt; https://www.nus.edu.sg/research/sustainability</t>
  </si>
  <si>
    <t>Examples:
&gt; https://www.lunduniversity.lu.se/lucat/group/v1001777
&gt; https://www.ucl.ac.uk/circular-economy-lab/
&gt; https://www.lunduniversity.lu.se/research-and-innovation/focus-areas/sustainable-planet
&gt; https://sustainablecampus.ajman.ac.ae/en/college-of-engineering-and-it
&gt; https://newinti.edu.my/esg/index.php/centre-of-sustainable-business-innovation-and-corporate-responsibility/
&gt; https://www.nus.edu.sg/research/sustainability/research-pillars/nature-based-climate-solutions</t>
  </si>
  <si>
    <t>&gt; https://www.ucl.ac.uk/sustainable/about-us/commitments-and-strategy/ucl-sustainability-plan-2025-35 (2040)
&gt; https://newinti.edu.my/esg/index.php/sustainability-policy-2030/ (2030)
&gt; https://uci.nus.edu.sg/campus-sustainability/ (-30% by 2030)</t>
  </si>
  <si>
    <t>&gt; https://governingcouncil.utoronto.ca/secretariat/page/governance-bodies
&gt; https://www.lunduniversity.lu.se/about-university/management-and-organisation/organisational-structure</t>
  </si>
  <si>
    <t>&gt; https://www.ucl.ac.uk/about/our-people/equality-diversity-and-inclusion</t>
  </si>
  <si>
    <t>&gt; https://sustainability.nus.edu.sg/commitment/reports-and-plans/ (sustainability general)
&gt; https://sustainability.nus.edu.sg/campus/green-finance/ (finance)</t>
  </si>
  <si>
    <t>&gt; https://www.lunduniversity.lu.se/student-life/before-you-arrive/students-disabilities/contact-our-accessibility-officers
&gt; https://www.lunduniversity.lu.se/student-life/before-you-arrive/students-disabilities
&gt; https://studentsunionucl.org/advice-and-support/support/disabled-students
&gt; https://osa.nus.edu.sg/services-support/accessibility-support/
&gt; https://www.ajman.ac.ae/en/student-life/counseling-unit/disability-support
&gt; https://newinti.edu.my/esg/index.php/facility-services-and-support/</t>
  </si>
  <si>
    <t>&gt; https://www.ajman.ac.ae/en/student-life/health-services
&gt; https://www.lunduniversity.lu.se/current-students/healthcare/student-health-centre
&gt; https://www.lunduniversity.lu.se/student-life/sport-and-exercise
&gt; https://newinti.edu.my/esg/index.php/health-and-well-being/</t>
  </si>
  <si>
    <t>&gt; https://sustainability.utoronto.ca/community-partnerships/
&gt; https://newinti.edu.my/esg/index.php/sustainability-alliances/</t>
  </si>
  <si>
    <t>&gt; https://sustainablecampus.ajman.ac.ae/en/classrooms
&gt; https://newinti.edu.my/esg/index.php/trainings-workshops-and-courses/</t>
  </si>
  <si>
    <t>&gt; Goals
&gt; Members
&gt; Activities
&gt; &gt; CUD testimonials (solar car, digi-bin, Ghaf Woods, Shelter of Inclusivity, etc)</t>
  </si>
  <si>
    <t>&gt; Pick relevant courses and write out which SDGs it includes
&gt; Orientation includes mandatory sustainability training
&gt; Include old COP28 website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</si>
</sst>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8"/>
      <color theme="1"/>
      <name val="Red Hat Text"/>
    </font>
    <font>
      <sz val="8"/>
      <color theme="1"/>
      <name val="Red Hat Text"/>
    </font>
    <font>
      <sz val="8"/>
      <name val="Calibri"/>
      <family val="2"/>
      <scheme val="minor"/>
    </font>
    <font>
      <b/>
      <sz val="8"/>
      <color theme="0"/>
      <name val="Red Hat Text"/>
    </font>
    <font>
      <b/>
      <sz val="11"/>
      <color rgb="FF1D1D1B"/>
      <name val="Century Gothic"/>
      <family val="2"/>
    </font>
    <font>
      <b/>
      <sz val="10"/>
      <color rgb="FF000000"/>
      <name val="Red Hat Text"/>
    </font>
    <font>
      <b/>
      <sz val="8"/>
      <color rgb="FF000000"/>
      <name val="Red Hat Text"/>
    </font>
    <font>
      <b/>
      <sz val="8"/>
      <color rgb="FF1D1D1B"/>
      <name val="Red Hat Text"/>
    </font>
    <font>
      <sz val="8"/>
      <color rgb="FF000000"/>
      <name val="Red Hat Text"/>
    </font>
    <font>
      <b/>
      <sz val="18"/>
      <name val="Red Hat Text"/>
    </font>
    <font>
      <sz val="11"/>
      <name val="Calibri"/>
      <family val="2"/>
      <scheme val="minor"/>
    </font>
    <font>
      <sz val="18"/>
      <name val="Red Hat Text"/>
    </font>
    <font>
      <b/>
      <sz val="11"/>
      <name val="Calibri"/>
      <family val="2"/>
      <scheme val="minor"/>
    </font>
    <font>
      <sz val="10"/>
      <color theme="1"/>
      <name val="Calibri"/>
      <family val="2"/>
      <scheme val="minor"/>
    </font>
    <font>
      <b/>
      <sz val="10"/>
      <color theme="1"/>
      <name val="Calibri"/>
      <family val="2"/>
      <scheme val="minor"/>
    </font>
    <font>
      <sz val="8"/>
      <color theme="1"/>
      <name val="Calibri"/>
      <family val="2"/>
      <scheme val="minor"/>
    </font>
    <font>
      <sz val="8"/>
      <name val="Arial"/>
      <family val="2"/>
    </font>
    <font>
      <b/>
      <sz val="8"/>
      <color theme="1"/>
      <name val="Calibri"/>
      <family val="2"/>
      <scheme val="minor"/>
    </font>
    <font>
      <sz val="8"/>
      <color rgb="FFFF0000"/>
      <name val="Red Hat Text"/>
    </font>
    <font>
      <b/>
      <sz val="18"/>
      <color theme="1"/>
      <name val="Calibri"/>
      <family val="2"/>
      <scheme val="minor"/>
    </font>
    <font>
      <sz val="18"/>
      <color theme="1"/>
      <name val="Calibri"/>
      <family val="2"/>
      <scheme val="minor"/>
    </font>
  </fonts>
  <fills count="5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FFC000"/>
        <bgColor indexed="64"/>
      </patternFill>
    </fill>
    <fill>
      <patternFill patternType="solid">
        <fgColor rgb="FF1AB394"/>
        <bgColor indexed="64"/>
      </patternFill>
    </fill>
    <fill>
      <patternFill patternType="solid">
        <fgColor rgb="FF86EED8"/>
        <bgColor indexed="64"/>
      </patternFill>
    </fill>
    <fill>
      <patternFill patternType="solid">
        <fgColor rgb="FF739ED9"/>
        <bgColor indexed="64"/>
      </patternFill>
    </fill>
    <fill>
      <patternFill patternType="solid">
        <fgColor rgb="FFB9CFEC"/>
        <bgColor indexed="64"/>
      </patternFill>
    </fill>
    <fill>
      <patternFill patternType="solid">
        <fgColor rgb="FFD5E2F4"/>
        <bgColor indexed="64"/>
      </patternFill>
    </fill>
    <fill>
      <patternFill patternType="solid">
        <fgColor rgb="FFF7A70D"/>
        <bgColor indexed="64"/>
      </patternFill>
    </fill>
    <fill>
      <patternFill patternType="solid">
        <fgColor rgb="FFFACA6E"/>
        <bgColor indexed="64"/>
      </patternFill>
    </fill>
    <fill>
      <patternFill patternType="solid">
        <fgColor rgb="FFFDE5B6"/>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theme="3"/>
        <bgColor indexed="64"/>
      </patternFill>
    </fill>
    <fill>
      <patternFill patternType="solid">
        <fgColor rgb="FFFECC01"/>
        <bgColor indexed="64"/>
      </patternFill>
    </fill>
    <fill>
      <patternFill patternType="solid">
        <fgColor rgb="FFE7EAED"/>
        <bgColor indexed="64"/>
      </patternFill>
    </fill>
    <fill>
      <patternFill patternType="solid">
        <fgColor rgb="FFD9F2D0"/>
        <bgColor indexed="64"/>
      </patternFill>
    </fill>
    <fill>
      <patternFill patternType="solid">
        <fgColor rgb="FFB4E5A2"/>
        <bgColor indexed="64"/>
      </patternFill>
    </fill>
    <fill>
      <patternFill patternType="solid">
        <fgColor rgb="FFCAEEFB"/>
        <bgColor indexed="64"/>
      </patternFill>
    </fill>
    <fill>
      <patternFill patternType="solid">
        <fgColor rgb="FF96DCF8"/>
        <bgColor indexed="64"/>
      </patternFill>
    </fill>
    <fill>
      <patternFill patternType="solid">
        <fgColor rgb="FFFBE3D6"/>
        <bgColor indexed="64"/>
      </patternFill>
    </fill>
    <fill>
      <patternFill patternType="solid">
        <fgColor theme="6" tint="0.79998168889431442"/>
        <bgColor indexed="64"/>
      </patternFill>
    </fill>
    <fill>
      <patternFill patternType="solid">
        <fgColor theme="2"/>
        <bgColor indexed="64"/>
      </patternFill>
    </fill>
  </fills>
  <borders count="4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ck">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style="medium">
        <color rgb="FFFFFFFF"/>
      </right>
      <top/>
      <bottom/>
      <diagonal/>
    </border>
    <border>
      <left style="medium">
        <color rgb="FFFFFFFF"/>
      </left>
      <right style="medium">
        <color rgb="FFFFFFFF"/>
      </right>
      <top/>
      <bottom style="medium">
        <color rgb="FFFFFFFF"/>
      </bottom>
      <diagonal/>
    </border>
    <border>
      <left style="medium">
        <color rgb="FFFFFFFF"/>
      </left>
      <right style="medium">
        <color rgb="FF000000"/>
      </right>
      <top style="medium">
        <color rgb="FFFFFFFF"/>
      </top>
      <bottom style="medium">
        <color rgb="FFFFFFFF"/>
      </bottom>
      <diagonal/>
    </border>
    <border>
      <left style="medium">
        <color rgb="FF000000"/>
      </left>
      <right style="medium">
        <color rgb="FFFFFFFF"/>
      </right>
      <top style="medium">
        <color rgb="FFFFFFFF"/>
      </top>
      <bottom style="medium">
        <color rgb="FFFFFFFF"/>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style="medium">
        <color theme="1"/>
      </bottom>
      <diagonal/>
    </border>
    <border>
      <left style="thin">
        <color theme="0" tint="-0.34998626667073579"/>
      </left>
      <right style="thin">
        <color theme="0" tint="-0.34998626667073579"/>
      </right>
      <top style="thin">
        <color theme="0" tint="-0.34998626667073579"/>
      </top>
      <bottom style="medium">
        <color theme="1"/>
      </bottom>
      <diagonal/>
    </border>
    <border>
      <left style="thin">
        <color theme="0" tint="-0.34998626667073579"/>
      </left>
      <right/>
      <top style="thin">
        <color theme="0" tint="-0.34998626667073579"/>
      </top>
      <bottom style="medium">
        <color theme="1"/>
      </bottom>
      <diagonal/>
    </border>
    <border>
      <left/>
      <right style="thin">
        <color theme="0" tint="-0.34998626667073579"/>
      </right>
      <top style="medium">
        <color theme="1"/>
      </top>
      <bottom style="thin">
        <color theme="0" tint="-0.34998626667073579"/>
      </bottom>
      <diagonal/>
    </border>
    <border>
      <left style="thin">
        <color theme="0" tint="-0.34998626667073579"/>
      </left>
      <right style="thin">
        <color theme="0" tint="-0.34998626667073579"/>
      </right>
      <top style="medium">
        <color theme="1"/>
      </top>
      <bottom style="thin">
        <color theme="0" tint="-0.34998626667073579"/>
      </bottom>
      <diagonal/>
    </border>
    <border>
      <left style="thin">
        <color theme="0" tint="-0.34998626667073579"/>
      </left>
      <right/>
      <top style="medium">
        <color theme="1"/>
      </top>
      <bottom style="thin">
        <color theme="0" tint="-0.34998626667073579"/>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9" fontId="1" fillId="0" borderId="0" applyFont="0" applyFill="0" applyBorder="0" applyAlignment="0" applyProtection="0"/>
  </cellStyleXfs>
  <cellXfs count="162">
    <xf numFmtId="0" fontId="0" fillId="0" borderId="0" xfId="0"/>
    <xf numFmtId="0" fontId="19" fillId="34" borderId="10" xfId="0" applyFont="1" applyFill="1" applyBorder="1" applyAlignment="1">
      <alignment horizontal="center" vertical="center"/>
    </xf>
    <xf numFmtId="0" fontId="19" fillId="34" borderId="10" xfId="0" applyFont="1" applyFill="1" applyBorder="1" applyAlignment="1">
      <alignment horizontal="left" vertical="center"/>
    </xf>
    <xf numFmtId="0" fontId="19" fillId="36" borderId="10" xfId="0" applyFont="1" applyFill="1" applyBorder="1" applyAlignment="1">
      <alignment horizontal="left" vertical="center"/>
    </xf>
    <xf numFmtId="0" fontId="19" fillId="36" borderId="10" xfId="0" applyFont="1" applyFill="1" applyBorder="1" applyAlignment="1">
      <alignment horizontal="center" vertical="center"/>
    </xf>
    <xf numFmtId="0" fontId="20" fillId="0" borderId="10" xfId="0" applyFont="1" applyBorder="1" applyAlignment="1">
      <alignment vertical="center"/>
    </xf>
    <xf numFmtId="0" fontId="20" fillId="0" borderId="10" xfId="0" applyFont="1" applyBorder="1" applyAlignment="1">
      <alignment horizontal="left" vertical="center"/>
    </xf>
    <xf numFmtId="0" fontId="19" fillId="39" borderId="10" xfId="0" applyFont="1" applyFill="1" applyBorder="1" applyAlignment="1">
      <alignment horizontal="center" vertical="center"/>
    </xf>
    <xf numFmtId="0" fontId="19" fillId="42" borderId="10" xfId="0" applyFont="1" applyFill="1" applyBorder="1" applyAlignment="1">
      <alignment horizontal="left" vertical="center"/>
    </xf>
    <xf numFmtId="0" fontId="19" fillId="42" borderId="10" xfId="0" applyFont="1" applyFill="1" applyBorder="1" applyAlignment="1">
      <alignment horizontal="center" vertical="center"/>
    </xf>
    <xf numFmtId="0" fontId="19" fillId="39" borderId="10" xfId="0" applyFont="1" applyFill="1" applyBorder="1" applyAlignment="1">
      <alignment horizontal="left" vertical="center"/>
    </xf>
    <xf numFmtId="0" fontId="19" fillId="41" borderId="10" xfId="0" applyFont="1" applyFill="1" applyBorder="1" applyAlignment="1">
      <alignment horizontal="left" vertical="center"/>
    </xf>
    <xf numFmtId="0" fontId="19" fillId="38" borderId="10" xfId="0" applyFont="1" applyFill="1" applyBorder="1" applyAlignment="1">
      <alignment horizontal="left" vertical="center"/>
    </xf>
    <xf numFmtId="0" fontId="19" fillId="0" borderId="10" xfId="0" applyFont="1" applyBorder="1" applyAlignment="1">
      <alignment horizontal="left" vertical="center"/>
    </xf>
    <xf numFmtId="0" fontId="19" fillId="35" borderId="10" xfId="0" applyFont="1" applyFill="1" applyBorder="1" applyAlignment="1">
      <alignment vertical="center"/>
    </xf>
    <xf numFmtId="0" fontId="19" fillId="37" borderId="10" xfId="0" applyFont="1" applyFill="1" applyBorder="1" applyAlignment="1">
      <alignment horizontal="left" vertical="center"/>
    </xf>
    <xf numFmtId="0" fontId="19" fillId="40" borderId="10" xfId="0" applyFont="1" applyFill="1" applyBorder="1" applyAlignment="1">
      <alignment vertical="center"/>
    </xf>
    <xf numFmtId="0" fontId="19" fillId="36" borderId="10" xfId="0" applyFont="1" applyFill="1" applyBorder="1" applyAlignment="1">
      <alignment vertical="center"/>
    </xf>
    <xf numFmtId="0" fontId="19" fillId="33" borderId="10" xfId="0" applyFont="1" applyFill="1" applyBorder="1" applyAlignment="1">
      <alignment vertical="center"/>
    </xf>
    <xf numFmtId="0" fontId="19" fillId="33" borderId="10" xfId="0" applyFont="1" applyFill="1" applyBorder="1" applyAlignment="1">
      <alignment horizontal="left" vertical="center"/>
    </xf>
    <xf numFmtId="0" fontId="20" fillId="0" borderId="10" xfId="0" applyFont="1" applyBorder="1" applyAlignment="1">
      <alignment horizontal="center" vertical="center"/>
      <extLst>
        <ext xmlns:xfpb="http://schemas.microsoft.com/office/spreadsheetml/2022/featurepropertybag" uri="{C7286773-470A-42A8-94C5-96B5CB345126}">
          <xfpb:xfComplement i="0"/>
        </ext>
      </extLst>
    </xf>
    <xf numFmtId="0" fontId="20" fillId="0" borderId="10" xfId="0" applyFont="1" applyBorder="1" applyAlignment="1">
      <alignment horizontal="center" vertical="center"/>
    </xf>
    <xf numFmtId="0" fontId="20" fillId="0" borderId="10" xfId="42" applyFont="1" applyBorder="1" applyAlignment="1">
      <alignment horizontal="center" vertical="center"/>
    </xf>
    <xf numFmtId="0" fontId="19" fillId="33" borderId="10" xfId="0" applyFont="1" applyFill="1" applyBorder="1" applyAlignment="1">
      <alignment horizontal="center" vertical="center"/>
    </xf>
    <xf numFmtId="0" fontId="19" fillId="0" borderId="10" xfId="0" applyFont="1" applyBorder="1" applyAlignment="1">
      <alignment horizontal="center" vertical="center"/>
    </xf>
    <xf numFmtId="0" fontId="19" fillId="43" borderId="10" xfId="0" applyFont="1" applyFill="1" applyBorder="1" applyAlignment="1">
      <alignment horizontal="left" vertical="center"/>
    </xf>
    <xf numFmtId="0" fontId="19" fillId="43" borderId="10" xfId="0" applyFont="1" applyFill="1" applyBorder="1" applyAlignment="1">
      <alignment horizontal="center" vertical="center"/>
    </xf>
    <xf numFmtId="0" fontId="19" fillId="44" borderId="10" xfId="0" applyFont="1" applyFill="1" applyBorder="1" applyAlignment="1">
      <alignment horizontal="left" vertical="center"/>
    </xf>
    <xf numFmtId="0" fontId="19" fillId="45" borderId="10" xfId="0" applyFont="1" applyFill="1" applyBorder="1" applyAlignment="1">
      <alignment horizontal="left" vertical="center"/>
    </xf>
    <xf numFmtId="0" fontId="20" fillId="0" borderId="10" xfId="0" applyFont="1" applyBorder="1" applyAlignment="1">
      <alignment horizontal="left" vertical="center" wrapText="1"/>
    </xf>
    <xf numFmtId="0" fontId="19" fillId="34" borderId="10" xfId="0" applyFont="1" applyFill="1" applyBorder="1" applyAlignment="1">
      <alignment horizontal="left" vertical="center" wrapText="1"/>
    </xf>
    <xf numFmtId="0" fontId="20" fillId="0" borderId="10" xfId="0" applyFont="1" applyBorder="1" applyAlignment="1">
      <alignment vertical="center" wrapText="1"/>
    </xf>
    <xf numFmtId="0" fontId="22" fillId="48" borderId="10" xfId="0" applyFont="1" applyFill="1" applyBorder="1" applyAlignment="1">
      <alignment horizontal="left" vertical="center" wrapText="1"/>
    </xf>
    <xf numFmtId="0" fontId="22" fillId="47" borderId="10" xfId="0" applyFont="1" applyFill="1" applyBorder="1" applyAlignment="1">
      <alignment vertical="center"/>
    </xf>
    <xf numFmtId="0" fontId="18" fillId="0" borderId="10" xfId="42" applyBorder="1" applyAlignment="1">
      <alignment vertical="center"/>
    </xf>
    <xf numFmtId="0" fontId="20" fillId="46" borderId="10" xfId="0" applyFont="1" applyFill="1" applyBorder="1" applyAlignment="1">
      <alignment vertical="center"/>
    </xf>
    <xf numFmtId="0" fontId="20" fillId="0" borderId="11" xfId="0" applyFont="1" applyBorder="1" applyAlignment="1">
      <alignment vertical="center"/>
    </xf>
    <xf numFmtId="0" fontId="20" fillId="0" borderId="12" xfId="0" applyFont="1" applyBorder="1" applyAlignment="1">
      <alignment vertical="center"/>
    </xf>
    <xf numFmtId="0" fontId="20" fillId="0" borderId="13" xfId="0" applyFont="1" applyBorder="1" applyAlignment="1">
      <alignment vertical="center"/>
    </xf>
    <xf numFmtId="0" fontId="20" fillId="0" borderId="11" xfId="0" applyFont="1" applyBorder="1" applyAlignment="1">
      <alignment horizontal="left" vertical="center" wrapText="1"/>
    </xf>
    <xf numFmtId="0" fontId="20" fillId="0" borderId="11" xfId="0" applyFont="1" applyBorder="1" applyAlignment="1">
      <alignment horizontal="left" vertical="center"/>
    </xf>
    <xf numFmtId="0" fontId="20" fillId="0" borderId="13" xfId="0" applyFont="1" applyBorder="1" applyAlignment="1">
      <alignment horizontal="left" vertical="center"/>
    </xf>
    <xf numFmtId="0" fontId="20" fillId="0" borderId="12" xfId="0" applyFont="1" applyBorder="1" applyAlignment="1">
      <alignment horizontal="left" vertical="center"/>
    </xf>
    <xf numFmtId="0" fontId="20" fillId="45" borderId="10" xfId="0" applyFont="1" applyFill="1" applyBorder="1" applyAlignment="1">
      <alignment horizontal="left" vertical="center"/>
    </xf>
    <xf numFmtId="0" fontId="20" fillId="45" borderId="11" xfId="0" applyFont="1" applyFill="1" applyBorder="1" applyAlignment="1">
      <alignment vertical="center"/>
    </xf>
    <xf numFmtId="0" fontId="19" fillId="40" borderId="11" xfId="0" applyFont="1" applyFill="1" applyBorder="1" applyAlignment="1">
      <alignment vertical="center"/>
    </xf>
    <xf numFmtId="0" fontId="19" fillId="41" borderId="11" xfId="0" applyFont="1" applyFill="1" applyBorder="1" applyAlignment="1">
      <alignment horizontal="left" vertical="center"/>
    </xf>
    <xf numFmtId="0" fontId="19" fillId="42" borderId="11" xfId="0" applyFont="1" applyFill="1" applyBorder="1" applyAlignment="1">
      <alignment horizontal="left" vertical="center"/>
    </xf>
    <xf numFmtId="0" fontId="19" fillId="42" borderId="11" xfId="0" applyFont="1" applyFill="1" applyBorder="1" applyAlignment="1">
      <alignment horizontal="center" vertical="center"/>
    </xf>
    <xf numFmtId="0" fontId="20" fillId="0" borderId="11" xfId="42" applyFont="1" applyBorder="1" applyAlignment="1">
      <alignment horizontal="center" vertical="center"/>
    </xf>
    <xf numFmtId="0" fontId="19" fillId="33" borderId="14" xfId="0" applyFont="1" applyFill="1" applyBorder="1" applyAlignment="1">
      <alignment vertical="center"/>
    </xf>
    <xf numFmtId="0" fontId="19" fillId="33" borderId="14" xfId="0" applyFont="1" applyFill="1" applyBorder="1" applyAlignment="1">
      <alignment horizontal="left" vertical="center"/>
    </xf>
    <xf numFmtId="0" fontId="19" fillId="33" borderId="14" xfId="0" applyFont="1" applyFill="1" applyBorder="1" applyAlignment="1">
      <alignment horizontal="center" vertical="center"/>
    </xf>
    <xf numFmtId="0" fontId="20" fillId="0" borderId="14" xfId="0" applyFont="1" applyBorder="1" applyAlignment="1">
      <alignment horizontal="left" vertical="center"/>
    </xf>
    <xf numFmtId="0" fontId="20" fillId="0" borderId="14" xfId="0" applyFont="1" applyBorder="1" applyAlignment="1">
      <alignment horizontal="left" vertical="center" wrapText="1"/>
    </xf>
    <xf numFmtId="0" fontId="20" fillId="0" borderId="14" xfId="0" applyFont="1" applyBorder="1" applyAlignment="1">
      <alignment horizontal="center" vertical="center"/>
    </xf>
    <xf numFmtId="0" fontId="20" fillId="0" borderId="14" xfId="0" applyFont="1" applyBorder="1" applyAlignment="1">
      <alignment vertical="center"/>
    </xf>
    <xf numFmtId="0" fontId="20" fillId="44" borderId="10" xfId="0" applyFont="1" applyFill="1" applyBorder="1" applyAlignment="1">
      <alignment horizontal="left" vertical="center" wrapText="1"/>
    </xf>
    <xf numFmtId="0" fontId="23" fillId="49" borderId="15" xfId="0" applyFont="1" applyFill="1" applyBorder="1" applyAlignment="1">
      <alignment horizontal="center" vertical="center" wrapText="1"/>
    </xf>
    <xf numFmtId="0" fontId="0" fillId="0" borderId="0" xfId="0" applyAlignment="1">
      <alignment horizontal="center" vertical="center"/>
    </xf>
    <xf numFmtId="0" fontId="25" fillId="50" borderId="17" xfId="0" applyFont="1" applyFill="1" applyBorder="1" applyAlignment="1">
      <alignment horizontal="center" vertical="center" wrapText="1" readingOrder="1"/>
    </xf>
    <xf numFmtId="0" fontId="26" fillId="50" borderId="17" xfId="0" applyFont="1" applyFill="1" applyBorder="1" applyAlignment="1">
      <alignment horizontal="center" vertical="center" wrapText="1" readingOrder="1"/>
    </xf>
    <xf numFmtId="0" fontId="27" fillId="52" borderId="17" xfId="0" applyFont="1" applyFill="1" applyBorder="1" applyAlignment="1">
      <alignment horizontal="center" vertical="center" wrapText="1" readingOrder="1"/>
    </xf>
    <xf numFmtId="9" fontId="27" fillId="52" borderId="17" xfId="0" applyNumberFormat="1" applyFont="1" applyFill="1" applyBorder="1" applyAlignment="1">
      <alignment horizontal="center" vertical="center" wrapText="1" readingOrder="1"/>
    </xf>
    <xf numFmtId="0" fontId="27" fillId="51" borderId="17" xfId="0" applyFont="1" applyFill="1" applyBorder="1" applyAlignment="1">
      <alignment horizontal="center" vertical="center" wrapText="1" readingOrder="1"/>
    </xf>
    <xf numFmtId="9" fontId="27" fillId="51" borderId="17" xfId="0" applyNumberFormat="1" applyFont="1" applyFill="1" applyBorder="1" applyAlignment="1">
      <alignment horizontal="center" vertical="center" wrapText="1" readingOrder="1"/>
    </xf>
    <xf numFmtId="0" fontId="27" fillId="54" borderId="17" xfId="0" applyFont="1" applyFill="1" applyBorder="1" applyAlignment="1">
      <alignment horizontal="center" vertical="center" wrapText="1" readingOrder="1"/>
    </xf>
    <xf numFmtId="9" fontId="27" fillId="54" borderId="17" xfId="0" applyNumberFormat="1" applyFont="1" applyFill="1" applyBorder="1" applyAlignment="1">
      <alignment horizontal="center" vertical="center" wrapText="1" readingOrder="1"/>
    </xf>
    <xf numFmtId="0" fontId="27" fillId="53" borderId="17" xfId="0" applyFont="1" applyFill="1" applyBorder="1" applyAlignment="1">
      <alignment horizontal="center" vertical="center" wrapText="1" readingOrder="1"/>
    </xf>
    <xf numFmtId="9" fontId="27" fillId="53" borderId="17" xfId="0" applyNumberFormat="1" applyFont="1" applyFill="1" applyBorder="1" applyAlignment="1">
      <alignment horizontal="center" vertical="center" wrapText="1" readingOrder="1"/>
    </xf>
    <xf numFmtId="0" fontId="27" fillId="55" borderId="17" xfId="0" applyFont="1" applyFill="1" applyBorder="1" applyAlignment="1">
      <alignment horizontal="center" vertical="center" wrapText="1" readingOrder="1"/>
    </xf>
    <xf numFmtId="9" fontId="27" fillId="55" borderId="17" xfId="0" applyNumberFormat="1" applyFont="1" applyFill="1" applyBorder="1" applyAlignment="1">
      <alignment horizontal="center" vertical="center" wrapText="1" readingOrder="1"/>
    </xf>
    <xf numFmtId="0" fontId="28" fillId="50" borderId="21" xfId="0" applyFont="1" applyFill="1" applyBorder="1" applyAlignment="1">
      <alignment horizontal="center" vertical="center" wrapText="1" readingOrder="1"/>
    </xf>
    <xf numFmtId="0" fontId="28" fillId="50" borderId="22" xfId="0" applyFont="1" applyFill="1" applyBorder="1" applyAlignment="1">
      <alignment horizontal="center" vertical="center" wrapText="1" readingOrder="1"/>
    </xf>
    <xf numFmtId="0" fontId="29" fillId="0" borderId="0" xfId="0" applyFont="1"/>
    <xf numFmtId="9" fontId="30" fillId="0" borderId="21" xfId="0" applyNumberFormat="1" applyFont="1" applyBorder="1" applyAlignment="1">
      <alignment horizontal="center" vertical="center" wrapText="1" readingOrder="1"/>
    </xf>
    <xf numFmtId="0" fontId="30" fillId="0" borderId="22" xfId="0" applyFont="1" applyBorder="1" applyAlignment="1">
      <alignment horizontal="center" vertical="center" wrapText="1" readingOrder="1"/>
    </xf>
    <xf numFmtId="0" fontId="31" fillId="0" borderId="0" xfId="0" applyFont="1"/>
    <xf numFmtId="9" fontId="0" fillId="0" borderId="0" xfId="0" applyNumberFormat="1"/>
    <xf numFmtId="0" fontId="32" fillId="0" borderId="0" xfId="0" applyFont="1" applyAlignment="1">
      <alignment horizontal="center" vertical="center"/>
    </xf>
    <xf numFmtId="0" fontId="24" fillId="0" borderId="0" xfId="0" applyFont="1" applyAlignment="1">
      <alignment horizontal="center" vertical="center" wrapText="1" readingOrder="1"/>
    </xf>
    <xf numFmtId="9" fontId="33" fillId="0" borderId="0" xfId="0" applyNumberFormat="1" applyFont="1" applyAlignment="1">
      <alignment horizontal="center" vertical="center"/>
    </xf>
    <xf numFmtId="0" fontId="32" fillId="0" borderId="0" xfId="0" applyFont="1" applyAlignment="1">
      <alignment horizontal="left" vertical="center"/>
    </xf>
    <xf numFmtId="0" fontId="0" fillId="0" borderId="0" xfId="0" applyAlignment="1">
      <alignment horizontal="left"/>
    </xf>
    <xf numFmtId="9" fontId="27" fillId="0" borderId="0" xfId="0" applyNumberFormat="1" applyFont="1" applyAlignment="1">
      <alignment horizontal="center" vertical="center" wrapText="1" readingOrder="1"/>
    </xf>
    <xf numFmtId="0" fontId="35" fillId="0" borderId="10" xfId="0" applyFont="1" applyBorder="1" applyAlignment="1">
      <alignment horizontal="center" vertical="center" wrapText="1"/>
    </xf>
    <xf numFmtId="0" fontId="27" fillId="0" borderId="10" xfId="0" applyFont="1" applyBorder="1" applyAlignment="1">
      <alignment horizontal="center" vertical="center" wrapText="1" readingOrder="1"/>
    </xf>
    <xf numFmtId="9" fontId="27" fillId="0" borderId="10" xfId="0" applyNumberFormat="1" applyFont="1" applyBorder="1" applyAlignment="1">
      <alignment horizontal="center" vertical="center" wrapText="1" readingOrder="1"/>
    </xf>
    <xf numFmtId="0" fontId="34" fillId="0" borderId="10" xfId="0" applyFont="1" applyBorder="1" applyAlignment="1">
      <alignment horizontal="left" vertical="center"/>
    </xf>
    <xf numFmtId="0" fontId="36" fillId="56" borderId="10" xfId="0" applyFont="1" applyFill="1" applyBorder="1"/>
    <xf numFmtId="0" fontId="36" fillId="56" borderId="10" xfId="0" applyFont="1" applyFill="1" applyBorder="1" applyAlignment="1">
      <alignment horizontal="left"/>
    </xf>
    <xf numFmtId="0" fontId="36" fillId="56" borderId="24" xfId="0" applyFont="1" applyFill="1" applyBorder="1"/>
    <xf numFmtId="0" fontId="35" fillId="0" borderId="24" xfId="0" applyFont="1" applyBorder="1" applyAlignment="1">
      <alignment horizontal="center" vertical="center" wrapText="1"/>
    </xf>
    <xf numFmtId="0" fontId="36" fillId="56" borderId="23" xfId="0" applyFont="1" applyFill="1" applyBorder="1" applyAlignment="1">
      <alignment horizontal="left"/>
    </xf>
    <xf numFmtId="0" fontId="34" fillId="0" borderId="23" xfId="0" applyFont="1" applyBorder="1" applyAlignment="1">
      <alignment horizontal="left" vertical="center"/>
    </xf>
    <xf numFmtId="0" fontId="34" fillId="0" borderId="23" xfId="0" applyFont="1" applyBorder="1" applyAlignment="1">
      <alignment horizontal="left" vertical="center" wrapText="1"/>
    </xf>
    <xf numFmtId="0" fontId="37" fillId="0" borderId="10" xfId="0" applyFont="1" applyBorder="1" applyAlignment="1">
      <alignment horizontal="center" vertical="center" wrapText="1" readingOrder="1"/>
    </xf>
    <xf numFmtId="0" fontId="27" fillId="0" borderId="0" xfId="0" applyFont="1" applyAlignment="1">
      <alignment horizontal="center" vertical="center" wrapText="1" readingOrder="1"/>
    </xf>
    <xf numFmtId="0" fontId="27" fillId="0" borderId="0" xfId="0" applyFont="1" applyAlignment="1">
      <alignment horizontal="left" vertical="center" wrapText="1" readingOrder="1"/>
    </xf>
    <xf numFmtId="9" fontId="27" fillId="0" borderId="0" xfId="0" applyNumberFormat="1" applyFont="1" applyAlignment="1">
      <alignment horizontal="center" wrapText="1" readingOrder="1"/>
    </xf>
    <xf numFmtId="0" fontId="34" fillId="0" borderId="0" xfId="0" applyFont="1"/>
    <xf numFmtId="0" fontId="36" fillId="56" borderId="10" xfId="0" applyFont="1" applyFill="1" applyBorder="1" applyAlignment="1">
      <alignment horizontal="center" vertical="center"/>
    </xf>
    <xf numFmtId="0" fontId="36" fillId="56" borderId="23" xfId="0" applyFont="1" applyFill="1" applyBorder="1" applyAlignment="1">
      <alignment horizontal="center" vertical="center"/>
    </xf>
    <xf numFmtId="0" fontId="34" fillId="0" borderId="0" xfId="0" applyFont="1" applyAlignment="1">
      <alignment horizontal="left" vertical="center"/>
    </xf>
    <xf numFmtId="0" fontId="34" fillId="0" borderId="0" xfId="0" applyFont="1" applyAlignment="1">
      <alignment horizontal="left" vertical="center" wrapText="1"/>
    </xf>
    <xf numFmtId="9" fontId="27" fillId="0" borderId="0" xfId="43" applyFont="1" applyFill="1" applyAlignment="1">
      <alignment horizontal="left" vertical="center" wrapText="1" readingOrder="1"/>
    </xf>
    <xf numFmtId="0" fontId="0" fillId="0" borderId="0" xfId="0" applyAlignment="1">
      <alignment wrapText="1"/>
    </xf>
    <xf numFmtId="0" fontId="0" fillId="0" borderId="29" xfId="0" applyBorder="1"/>
    <xf numFmtId="0" fontId="0" fillId="0" borderId="29" xfId="0" applyBorder="1" applyAlignment="1">
      <alignment wrapText="1"/>
    </xf>
    <xf numFmtId="0" fontId="0" fillId="0" borderId="30" xfId="0" applyBorder="1" applyAlignment="1">
      <alignment wrapText="1"/>
    </xf>
    <xf numFmtId="0" fontId="0" fillId="0" borderId="30" xfId="0" applyBorder="1" applyAlignment="1">
      <alignment vertical="center" wrapText="1"/>
    </xf>
    <xf numFmtId="0" fontId="0" fillId="0" borderId="32" xfId="0" applyBorder="1"/>
    <xf numFmtId="0" fontId="0" fillId="0" borderId="32" xfId="0" applyBorder="1" applyAlignment="1">
      <alignment wrapText="1"/>
    </xf>
    <xf numFmtId="0" fontId="0" fillId="0" borderId="33" xfId="0" applyBorder="1" applyAlignment="1">
      <alignment wrapText="1"/>
    </xf>
    <xf numFmtId="0" fontId="0" fillId="0" borderId="26" xfId="0" applyBorder="1"/>
    <xf numFmtId="0" fontId="0" fillId="0" borderId="26" xfId="0" applyBorder="1" applyAlignment="1">
      <alignment wrapText="1"/>
    </xf>
    <xf numFmtId="0" fontId="0" fillId="0" borderId="35" xfId="0" applyBorder="1"/>
    <xf numFmtId="0" fontId="0" fillId="0" borderId="35" xfId="0" applyBorder="1" applyAlignment="1">
      <alignment wrapText="1"/>
    </xf>
    <xf numFmtId="0" fontId="0" fillId="0" borderId="36" xfId="0" applyBorder="1" applyAlignment="1">
      <alignment wrapText="1"/>
    </xf>
    <xf numFmtId="0" fontId="0" fillId="0" borderId="27" xfId="0" applyBorder="1" applyAlignment="1">
      <alignment wrapText="1"/>
    </xf>
    <xf numFmtId="0" fontId="0" fillId="0" borderId="38" xfId="0" applyBorder="1"/>
    <xf numFmtId="0" fontId="0" fillId="0" borderId="38" xfId="0" applyBorder="1" applyAlignment="1">
      <alignment wrapText="1"/>
    </xf>
    <xf numFmtId="0" fontId="0" fillId="0" borderId="39" xfId="0" applyBorder="1" applyAlignment="1">
      <alignment wrapText="1"/>
    </xf>
    <xf numFmtId="0" fontId="38" fillId="57" borderId="25" xfId="0" applyFont="1" applyFill="1" applyBorder="1"/>
    <xf numFmtId="0" fontId="38" fillId="57" borderId="26" xfId="0" applyFont="1" applyFill="1" applyBorder="1"/>
    <xf numFmtId="0" fontId="38" fillId="57" borderId="26" xfId="0" applyFont="1" applyFill="1" applyBorder="1" applyAlignment="1">
      <alignment wrapText="1"/>
    </xf>
    <xf numFmtId="0" fontId="38" fillId="57" borderId="27" xfId="0" applyFont="1" applyFill="1" applyBorder="1" applyAlignment="1">
      <alignment wrapText="1"/>
    </xf>
    <xf numFmtId="0" fontId="39" fillId="0" borderId="0" xfId="0" applyFont="1"/>
    <xf numFmtId="0" fontId="20" fillId="0" borderId="11" xfId="0" applyFont="1" applyBorder="1" applyAlignment="1">
      <alignment horizontal="left" vertical="center" wrapText="1"/>
    </xf>
    <xf numFmtId="0" fontId="20" fillId="0" borderId="12" xfId="0" applyFont="1" applyBorder="1" applyAlignment="1">
      <alignment horizontal="left" vertical="center" wrapText="1"/>
    </xf>
    <xf numFmtId="0" fontId="20" fillId="0" borderId="13" xfId="0" applyFont="1" applyBorder="1" applyAlignment="1">
      <alignment horizontal="left" vertical="center" wrapText="1"/>
    </xf>
    <xf numFmtId="0" fontId="20" fillId="0" borderId="11" xfId="0" applyFont="1" applyBorder="1" applyAlignment="1">
      <alignment vertical="center" wrapText="1"/>
    </xf>
    <xf numFmtId="0" fontId="20" fillId="0" borderId="13" xfId="0" applyFont="1" applyBorder="1" applyAlignment="1">
      <alignment vertical="center" wrapText="1"/>
    </xf>
    <xf numFmtId="0" fontId="20" fillId="0" borderId="11"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13" xfId="0" applyFont="1" applyBorder="1" applyAlignment="1">
      <alignment horizontal="center" vertical="center" wrapText="1"/>
    </xf>
    <xf numFmtId="0" fontId="20" fillId="0" borderId="11" xfId="0" applyFont="1" applyBorder="1" applyAlignment="1">
      <alignment vertical="center"/>
    </xf>
    <xf numFmtId="0" fontId="20" fillId="0" borderId="12" xfId="0" applyFont="1" applyBorder="1" applyAlignment="1">
      <alignment vertical="center"/>
    </xf>
    <xf numFmtId="0" fontId="20" fillId="0" borderId="13" xfId="0" applyFont="1" applyBorder="1" applyAlignment="1">
      <alignment vertical="center"/>
    </xf>
    <xf numFmtId="0" fontId="0" fillId="0" borderId="25" xfId="0" applyBorder="1" applyAlignment="1">
      <alignment horizontal="center" vertical="center" wrapText="1"/>
    </xf>
    <xf numFmtId="0" fontId="0" fillId="0" borderId="28" xfId="0" applyBorder="1" applyAlignment="1">
      <alignment horizontal="center" vertical="center" wrapText="1"/>
    </xf>
    <xf numFmtId="0" fontId="0" fillId="0" borderId="31" xfId="0" applyBorder="1" applyAlignment="1">
      <alignment horizontal="center" vertical="center" wrapText="1"/>
    </xf>
    <xf numFmtId="0" fontId="0" fillId="0" borderId="30" xfId="0" applyBorder="1" applyAlignment="1">
      <alignment horizontal="left" vertical="center" wrapText="1"/>
    </xf>
    <xf numFmtId="0" fontId="0" fillId="0" borderId="36" xfId="0" applyBorder="1" applyAlignment="1">
      <alignment horizontal="left" vertical="center" wrapText="1"/>
    </xf>
    <xf numFmtId="0" fontId="0" fillId="0" borderId="28" xfId="0" applyBorder="1" applyAlignment="1">
      <alignment horizontal="center" vertical="center"/>
    </xf>
    <xf numFmtId="0" fontId="0" fillId="0" borderId="34" xfId="0" applyBorder="1" applyAlignment="1">
      <alignment horizontal="center" vertical="center"/>
    </xf>
    <xf numFmtId="0" fontId="0" fillId="0" borderId="37" xfId="0" applyBorder="1" applyAlignment="1">
      <alignment horizontal="center" vertical="center" wrapText="1"/>
    </xf>
    <xf numFmtId="0" fontId="0" fillId="0" borderId="34" xfId="0" applyBorder="1" applyAlignment="1">
      <alignment horizontal="center" vertical="center" wrapText="1"/>
    </xf>
    <xf numFmtId="0" fontId="0" fillId="0" borderId="16" xfId="0" applyBorder="1" applyAlignment="1">
      <alignment horizontal="center" vertical="center"/>
    </xf>
    <xf numFmtId="0" fontId="0" fillId="0" borderId="0" xfId="0" applyAlignment="1">
      <alignment horizontal="center" vertical="center"/>
    </xf>
    <xf numFmtId="0" fontId="27" fillId="51" borderId="18" xfId="0" applyFont="1" applyFill="1" applyBorder="1" applyAlignment="1">
      <alignment horizontal="center" vertical="center" wrapText="1" readingOrder="1"/>
    </xf>
    <xf numFmtId="0" fontId="27" fillId="51" borderId="19" xfId="0" applyFont="1" applyFill="1" applyBorder="1" applyAlignment="1">
      <alignment horizontal="center" vertical="center" wrapText="1" readingOrder="1"/>
    </xf>
    <xf numFmtId="0" fontId="27" fillId="51" borderId="20" xfId="0" applyFont="1" applyFill="1" applyBorder="1" applyAlignment="1">
      <alignment horizontal="center" vertical="center" wrapText="1" readingOrder="1"/>
    </xf>
    <xf numFmtId="9" fontId="27" fillId="51" borderId="18" xfId="0" applyNumberFormat="1" applyFont="1" applyFill="1" applyBorder="1" applyAlignment="1">
      <alignment horizontal="center" vertical="center" wrapText="1" readingOrder="1"/>
    </xf>
    <xf numFmtId="9" fontId="27" fillId="51" borderId="19" xfId="0" applyNumberFormat="1" applyFont="1" applyFill="1" applyBorder="1" applyAlignment="1">
      <alignment horizontal="center" vertical="center" wrapText="1" readingOrder="1"/>
    </xf>
    <xf numFmtId="9" fontId="27" fillId="51" borderId="20" xfId="0" applyNumberFormat="1" applyFont="1" applyFill="1" applyBorder="1" applyAlignment="1">
      <alignment horizontal="center" vertical="center" wrapText="1" readingOrder="1"/>
    </xf>
    <xf numFmtId="0" fontId="27" fillId="53" borderId="18" xfId="0" applyFont="1" applyFill="1" applyBorder="1" applyAlignment="1">
      <alignment horizontal="center" vertical="center" wrapText="1" readingOrder="1"/>
    </xf>
    <xf numFmtId="0" fontId="27" fillId="53" borderId="19" xfId="0" applyFont="1" applyFill="1" applyBorder="1" applyAlignment="1">
      <alignment horizontal="center" vertical="center" wrapText="1" readingOrder="1"/>
    </xf>
    <xf numFmtId="0" fontId="27" fillId="53" borderId="20" xfId="0" applyFont="1" applyFill="1" applyBorder="1" applyAlignment="1">
      <alignment horizontal="center" vertical="center" wrapText="1" readingOrder="1"/>
    </xf>
    <xf numFmtId="9" fontId="27" fillId="53" borderId="18" xfId="0" applyNumberFormat="1" applyFont="1" applyFill="1" applyBorder="1" applyAlignment="1">
      <alignment horizontal="center" vertical="center" wrapText="1" readingOrder="1"/>
    </xf>
    <xf numFmtId="9" fontId="27" fillId="53" borderId="19" xfId="0" applyNumberFormat="1" applyFont="1" applyFill="1" applyBorder="1" applyAlignment="1">
      <alignment horizontal="center" vertical="center" wrapText="1" readingOrder="1"/>
    </xf>
    <xf numFmtId="9" fontId="27" fillId="53" borderId="20" xfId="0" applyNumberFormat="1" applyFont="1" applyFill="1" applyBorder="1" applyAlignment="1">
      <alignment horizontal="center" vertical="center" wrapText="1" readingOrder="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DE5B6"/>
      <color rgb="FFFACA6E"/>
      <color rgb="FFF7A70D"/>
      <color rgb="FFD5E2F4"/>
      <color rgb="FFB9CFEC"/>
      <color rgb="FF739ED9"/>
      <color rgb="FF174794"/>
      <color rgb="FF86EED8"/>
      <color rgb="FF28E0B9"/>
      <color rgb="FF1AB3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452437</xdr:colOff>
      <xdr:row>1</xdr:row>
      <xdr:rowOff>224033</xdr:rowOff>
    </xdr:from>
    <xdr:to>
      <xdr:col>19</xdr:col>
      <xdr:colOff>276597</xdr:colOff>
      <xdr:row>8</xdr:row>
      <xdr:rowOff>214691</xdr:rowOff>
    </xdr:to>
    <xdr:pic>
      <xdr:nvPicPr>
        <xdr:cNvPr id="2" name="Picture 1">
          <a:extLst>
            <a:ext uri="{FF2B5EF4-FFF2-40B4-BE49-F238E27FC236}">
              <a16:creationId xmlns:a16="http://schemas.microsoft.com/office/drawing/2014/main" id="{5EADBC85-4E6B-D479-30D4-B7B220207CCA}"/>
            </a:ext>
          </a:extLst>
        </xdr:cNvPr>
        <xdr:cNvPicPr>
          <a:picLocks noChangeAspect="1"/>
        </xdr:cNvPicPr>
      </xdr:nvPicPr>
      <xdr:blipFill>
        <a:blip xmlns:r="http://schemas.openxmlformats.org/officeDocument/2006/relationships" r:embed="rId1"/>
        <a:stretch>
          <a:fillRect/>
        </a:stretch>
      </xdr:blipFill>
      <xdr:spPr>
        <a:xfrm>
          <a:off x="22717125" y="450252"/>
          <a:ext cx="4681911" cy="3767009"/>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ud.ac.ae/student-life/eco-lution-club" TargetMode="External"/><Relationship Id="rId1" Type="http://schemas.openxmlformats.org/officeDocument/2006/relationships/hyperlink" Target="https://www.cud.ac.ae/cud-esg/cud-student-council"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9A269-A406-4BE1-931B-51E45DE79C33}">
  <dimension ref="A1:K88"/>
  <sheetViews>
    <sheetView zoomScale="160" zoomScaleNormal="160" workbookViewId="0">
      <pane xSplit="1" ySplit="1" topLeftCell="B28" activePane="bottomRight" state="frozen"/>
      <selection pane="topRight" activeCell="B1" sqref="B1"/>
      <selection pane="bottomLeft" activeCell="A2" sqref="A2"/>
      <selection pane="bottomRight" activeCell="F42" sqref="F42"/>
    </sheetView>
  </sheetViews>
  <sheetFormatPr defaultRowHeight="18" customHeight="1"/>
  <cols>
    <col min="1" max="1" width="7.140625" style="13" customWidth="1"/>
    <col min="2" max="2" width="21.28515625" style="13" customWidth="1"/>
    <col min="3" max="3" width="29.28515625" style="13" customWidth="1"/>
    <col min="4" max="4" width="9.7109375" style="24" bestFit="1" customWidth="1"/>
    <col min="5" max="5" width="59" style="29" customWidth="1"/>
    <col min="6" max="6" width="30" style="29" customWidth="1"/>
    <col min="7" max="7" width="13.5703125" style="6" customWidth="1"/>
    <col min="8" max="8" width="25.140625" style="6" customWidth="1"/>
    <col min="9" max="9" width="22.42578125" style="6" customWidth="1"/>
    <col min="10" max="10" width="59.28515625" style="29" customWidth="1"/>
    <col min="11" max="11" width="92.28515625" style="5" customWidth="1"/>
    <col min="12" max="16384" width="9.140625" style="6"/>
  </cols>
  <sheetData>
    <row r="1" spans="1:11" ht="18" customHeight="1">
      <c r="A1" s="2" t="s">
        <v>0</v>
      </c>
      <c r="B1" s="2" t="s">
        <v>1</v>
      </c>
      <c r="C1" s="2" t="s">
        <v>2</v>
      </c>
      <c r="D1" s="1" t="s">
        <v>3</v>
      </c>
      <c r="E1" s="30" t="s">
        <v>4</v>
      </c>
      <c r="F1" s="30" t="s">
        <v>5</v>
      </c>
      <c r="G1" s="2" t="s">
        <v>6</v>
      </c>
      <c r="H1" s="2" t="s">
        <v>7</v>
      </c>
      <c r="I1" s="2" t="s">
        <v>308</v>
      </c>
      <c r="J1" s="32" t="s">
        <v>211</v>
      </c>
      <c r="K1" s="33" t="s">
        <v>289</v>
      </c>
    </row>
    <row r="2" spans="1:11" ht="18" customHeight="1">
      <c r="A2" s="25" t="s">
        <v>8</v>
      </c>
      <c r="B2" s="25"/>
      <c r="C2" s="25"/>
      <c r="D2" s="26"/>
      <c r="E2" s="29" t="s">
        <v>9</v>
      </c>
      <c r="F2" s="29" t="s">
        <v>10</v>
      </c>
      <c r="G2" s="20" t="s">
        <v>11</v>
      </c>
      <c r="H2" s="6" t="s">
        <v>12</v>
      </c>
    </row>
    <row r="3" spans="1:11" ht="18" customHeight="1">
      <c r="A3" s="25" t="s">
        <v>8</v>
      </c>
      <c r="B3" s="25"/>
      <c r="C3" s="25"/>
      <c r="D3" s="26"/>
      <c r="E3" s="29" t="s">
        <v>13</v>
      </c>
      <c r="F3" s="29" t="s">
        <v>14</v>
      </c>
      <c r="G3" s="20" t="s">
        <v>15</v>
      </c>
      <c r="H3" s="6" t="s">
        <v>12</v>
      </c>
    </row>
    <row r="4" spans="1:11" ht="27.75" customHeight="1">
      <c r="A4" s="14" t="s">
        <v>16</v>
      </c>
      <c r="B4" s="27" t="s">
        <v>17</v>
      </c>
      <c r="C4" s="3" t="s">
        <v>18</v>
      </c>
      <c r="D4" s="4" t="s">
        <v>19</v>
      </c>
      <c r="E4" s="29" t="s">
        <v>20</v>
      </c>
      <c r="F4" s="29" t="s">
        <v>209</v>
      </c>
      <c r="G4" s="20" t="b">
        <v>0</v>
      </c>
      <c r="H4" s="5" t="s">
        <v>12</v>
      </c>
      <c r="I4" s="36"/>
      <c r="J4" s="133" t="s">
        <v>170</v>
      </c>
    </row>
    <row r="5" spans="1:11" ht="121.5" customHeight="1">
      <c r="A5" s="14" t="s">
        <v>16</v>
      </c>
      <c r="B5" s="27" t="s">
        <v>17</v>
      </c>
      <c r="C5" s="3" t="s">
        <v>18</v>
      </c>
      <c r="D5" s="4" t="s">
        <v>19</v>
      </c>
      <c r="E5" s="29" t="s">
        <v>20</v>
      </c>
      <c r="F5" s="29" t="s">
        <v>21</v>
      </c>
      <c r="G5" s="20" t="b">
        <v>0</v>
      </c>
      <c r="H5" s="5" t="s">
        <v>12</v>
      </c>
      <c r="I5" s="37"/>
      <c r="J5" s="134"/>
      <c r="K5" s="131" t="s">
        <v>307</v>
      </c>
    </row>
    <row r="6" spans="1:11" ht="22.5">
      <c r="A6" s="14" t="s">
        <v>16</v>
      </c>
      <c r="B6" s="27" t="s">
        <v>17</v>
      </c>
      <c r="C6" s="3" t="s">
        <v>18</v>
      </c>
      <c r="D6" s="4" t="s">
        <v>19</v>
      </c>
      <c r="E6" s="29" t="s">
        <v>20</v>
      </c>
      <c r="F6" s="29" t="s">
        <v>14</v>
      </c>
      <c r="G6" s="21" t="s">
        <v>22</v>
      </c>
      <c r="H6" s="5" t="s">
        <v>12</v>
      </c>
      <c r="I6" s="38"/>
      <c r="J6" s="135"/>
      <c r="K6" s="132"/>
    </row>
    <row r="7" spans="1:11" ht="22.5">
      <c r="A7" s="14" t="s">
        <v>16</v>
      </c>
      <c r="B7" s="27" t="s">
        <v>23</v>
      </c>
      <c r="C7" s="3" t="s">
        <v>24</v>
      </c>
      <c r="D7" s="4" t="s">
        <v>25</v>
      </c>
      <c r="E7" s="57" t="s">
        <v>26</v>
      </c>
      <c r="F7" s="29" t="s">
        <v>210</v>
      </c>
      <c r="G7" s="20" t="b">
        <v>0</v>
      </c>
      <c r="H7" s="5" t="s">
        <v>12</v>
      </c>
      <c r="I7" s="36"/>
      <c r="J7" s="133" t="s">
        <v>171</v>
      </c>
      <c r="K7" s="136" t="s">
        <v>285</v>
      </c>
    </row>
    <row r="8" spans="1:11" ht="56.25">
      <c r="A8" s="14" t="s">
        <v>16</v>
      </c>
      <c r="B8" s="27" t="s">
        <v>23</v>
      </c>
      <c r="C8" s="3" t="s">
        <v>24</v>
      </c>
      <c r="D8" s="4" t="s">
        <v>25</v>
      </c>
      <c r="E8" s="57" t="s">
        <v>26</v>
      </c>
      <c r="F8" s="29" t="s">
        <v>27</v>
      </c>
      <c r="G8" s="20" t="b">
        <v>0</v>
      </c>
      <c r="H8" s="5" t="s">
        <v>12</v>
      </c>
      <c r="I8" s="37"/>
      <c r="J8" s="134"/>
      <c r="K8" s="137"/>
    </row>
    <row r="9" spans="1:11" ht="18" customHeight="1">
      <c r="A9" s="14" t="s">
        <v>16</v>
      </c>
      <c r="B9" s="27" t="s">
        <v>23</v>
      </c>
      <c r="C9" s="3" t="s">
        <v>24</v>
      </c>
      <c r="D9" s="4" t="s">
        <v>25</v>
      </c>
      <c r="E9" s="57" t="s">
        <v>26</v>
      </c>
      <c r="F9" s="29" t="s">
        <v>14</v>
      </c>
      <c r="G9" s="21" t="s">
        <v>22</v>
      </c>
      <c r="H9" s="5" t="s">
        <v>12</v>
      </c>
      <c r="I9" s="38"/>
      <c r="J9" s="135"/>
      <c r="K9" s="138"/>
    </row>
    <row r="10" spans="1:11" ht="49.5" customHeight="1">
      <c r="A10" s="14" t="s">
        <v>16</v>
      </c>
      <c r="B10" s="28" t="s">
        <v>28</v>
      </c>
      <c r="C10" s="3" t="s">
        <v>29</v>
      </c>
      <c r="D10" s="4" t="s">
        <v>30</v>
      </c>
      <c r="E10" s="29" t="s">
        <v>31</v>
      </c>
      <c r="F10" s="29" t="s">
        <v>14</v>
      </c>
      <c r="G10" s="21" t="s">
        <v>22</v>
      </c>
      <c r="H10" s="6" t="s">
        <v>32</v>
      </c>
      <c r="J10" s="29" t="s">
        <v>172</v>
      </c>
      <c r="K10" s="131" t="s">
        <v>286</v>
      </c>
    </row>
    <row r="11" spans="1:11" ht="41.25" customHeight="1">
      <c r="A11" s="14" t="s">
        <v>16</v>
      </c>
      <c r="B11" s="28" t="s">
        <v>28</v>
      </c>
      <c r="C11" s="3" t="s">
        <v>29</v>
      </c>
      <c r="D11" s="4" t="s">
        <v>30</v>
      </c>
      <c r="E11" s="29" t="s">
        <v>33</v>
      </c>
      <c r="F11" s="29" t="s">
        <v>14</v>
      </c>
      <c r="G11" s="21" t="s">
        <v>22</v>
      </c>
      <c r="H11" s="6" t="s">
        <v>32</v>
      </c>
      <c r="J11" s="29" t="s">
        <v>173</v>
      </c>
      <c r="K11" s="132"/>
    </row>
    <row r="12" spans="1:11" ht="18" customHeight="1">
      <c r="A12" s="14" t="s">
        <v>16</v>
      </c>
      <c r="B12" s="28" t="s">
        <v>28</v>
      </c>
      <c r="C12" s="3" t="s">
        <v>34</v>
      </c>
      <c r="D12" s="4" t="s">
        <v>35</v>
      </c>
      <c r="E12" s="29" t="s">
        <v>36</v>
      </c>
      <c r="F12" s="29" t="s">
        <v>14</v>
      </c>
      <c r="G12" s="21" t="s">
        <v>22</v>
      </c>
      <c r="H12" s="6" t="s">
        <v>12</v>
      </c>
      <c r="J12" s="29" t="s">
        <v>174</v>
      </c>
      <c r="K12" s="34" t="s">
        <v>287</v>
      </c>
    </row>
    <row r="13" spans="1:11" ht="22.5">
      <c r="A13" s="14" t="s">
        <v>16</v>
      </c>
      <c r="B13" s="28" t="s">
        <v>28</v>
      </c>
      <c r="C13" s="3" t="s">
        <v>37</v>
      </c>
      <c r="D13" s="4" t="s">
        <v>38</v>
      </c>
      <c r="E13" s="29" t="s">
        <v>39</v>
      </c>
      <c r="F13" s="29" t="s">
        <v>40</v>
      </c>
      <c r="G13" s="21" t="s">
        <v>40</v>
      </c>
      <c r="H13" s="6" t="s">
        <v>12</v>
      </c>
      <c r="I13" s="40"/>
      <c r="J13" s="133" t="s">
        <v>176</v>
      </c>
      <c r="K13" s="35" t="s">
        <v>288</v>
      </c>
    </row>
    <row r="14" spans="1:11" ht="22.5">
      <c r="A14" s="14" t="s">
        <v>16</v>
      </c>
      <c r="B14" s="28" t="s">
        <v>28</v>
      </c>
      <c r="C14" s="3" t="s">
        <v>37</v>
      </c>
      <c r="D14" s="4" t="s">
        <v>38</v>
      </c>
      <c r="E14" s="29" t="s">
        <v>39</v>
      </c>
      <c r="F14" s="29" t="s">
        <v>14</v>
      </c>
      <c r="G14" s="21" t="s">
        <v>22</v>
      </c>
      <c r="H14" s="6" t="s">
        <v>12</v>
      </c>
      <c r="I14" s="41"/>
      <c r="J14" s="135"/>
      <c r="K14" s="35" t="s">
        <v>288</v>
      </c>
    </row>
    <row r="15" spans="1:11" ht="22.5">
      <c r="A15" s="14" t="s">
        <v>16</v>
      </c>
      <c r="B15" s="28" t="s">
        <v>28</v>
      </c>
      <c r="C15" s="3" t="s">
        <v>41</v>
      </c>
      <c r="D15" s="4" t="s">
        <v>42</v>
      </c>
      <c r="E15" s="29" t="s">
        <v>43</v>
      </c>
      <c r="F15" s="29" t="s">
        <v>14</v>
      </c>
      <c r="G15" s="20" t="s">
        <v>22</v>
      </c>
      <c r="H15" s="6" t="s">
        <v>12</v>
      </c>
      <c r="J15" s="29" t="s">
        <v>176</v>
      </c>
      <c r="K15" s="35" t="s">
        <v>288</v>
      </c>
    </row>
    <row r="16" spans="1:11" ht="22.5">
      <c r="A16" s="14" t="s">
        <v>16</v>
      </c>
      <c r="B16" s="28" t="s">
        <v>28</v>
      </c>
      <c r="C16" s="17" t="s">
        <v>41</v>
      </c>
      <c r="D16" s="4" t="s">
        <v>42</v>
      </c>
      <c r="E16" s="31" t="s">
        <v>44</v>
      </c>
      <c r="F16" s="29" t="s">
        <v>45</v>
      </c>
      <c r="G16" s="21" t="s">
        <v>46</v>
      </c>
      <c r="H16" s="6" t="s">
        <v>47</v>
      </c>
      <c r="I16" s="40"/>
      <c r="J16" s="133" t="s">
        <v>176</v>
      </c>
      <c r="K16" s="35" t="s">
        <v>288</v>
      </c>
    </row>
    <row r="17" spans="1:11" ht="22.5">
      <c r="A17" s="14" t="s">
        <v>16</v>
      </c>
      <c r="B17" s="28" t="s">
        <v>28</v>
      </c>
      <c r="C17" s="17" t="s">
        <v>41</v>
      </c>
      <c r="D17" s="4" t="s">
        <v>42</v>
      </c>
      <c r="E17" s="31" t="s">
        <v>44</v>
      </c>
      <c r="F17" s="29" t="s">
        <v>48</v>
      </c>
      <c r="G17" s="21" t="s">
        <v>46</v>
      </c>
      <c r="H17" s="6" t="s">
        <v>47</v>
      </c>
      <c r="I17" s="42"/>
      <c r="J17" s="134"/>
      <c r="K17" s="35" t="s">
        <v>288</v>
      </c>
    </row>
    <row r="18" spans="1:11" ht="22.5">
      <c r="A18" s="14" t="s">
        <v>16</v>
      </c>
      <c r="B18" s="28" t="s">
        <v>28</v>
      </c>
      <c r="C18" s="17" t="s">
        <v>41</v>
      </c>
      <c r="D18" s="4" t="s">
        <v>42</v>
      </c>
      <c r="E18" s="31" t="s">
        <v>44</v>
      </c>
      <c r="F18" s="29" t="s">
        <v>14</v>
      </c>
      <c r="G18" s="21" t="s">
        <v>22</v>
      </c>
      <c r="H18" s="6" t="s">
        <v>47</v>
      </c>
      <c r="I18" s="41"/>
      <c r="J18" s="135"/>
      <c r="K18" s="35" t="s">
        <v>288</v>
      </c>
    </row>
    <row r="19" spans="1:11" ht="22.5">
      <c r="A19" s="14" t="s">
        <v>16</v>
      </c>
      <c r="B19" s="28" t="s">
        <v>28</v>
      </c>
      <c r="C19" s="3" t="s">
        <v>41</v>
      </c>
      <c r="D19" s="4" t="s">
        <v>42</v>
      </c>
      <c r="E19" s="29" t="s">
        <v>49</v>
      </c>
      <c r="F19" s="29" t="s">
        <v>50</v>
      </c>
      <c r="G19" s="21" t="s">
        <v>46</v>
      </c>
      <c r="H19" s="6" t="s">
        <v>47</v>
      </c>
      <c r="J19" s="29" t="s">
        <v>177</v>
      </c>
      <c r="K19" s="35" t="s">
        <v>288</v>
      </c>
    </row>
    <row r="20" spans="1:11" ht="33.75">
      <c r="A20" s="14" t="s">
        <v>16</v>
      </c>
      <c r="B20" s="28" t="s">
        <v>28</v>
      </c>
      <c r="C20" s="3" t="s">
        <v>51</v>
      </c>
      <c r="D20" s="4" t="s">
        <v>52</v>
      </c>
      <c r="E20" s="29" t="s">
        <v>53</v>
      </c>
      <c r="F20" s="29" t="s">
        <v>54</v>
      </c>
      <c r="G20" s="21" t="s">
        <v>46</v>
      </c>
      <c r="H20" s="6" t="s">
        <v>47</v>
      </c>
      <c r="J20" s="29" t="s">
        <v>178</v>
      </c>
      <c r="K20" s="35" t="s">
        <v>288</v>
      </c>
    </row>
    <row r="21" spans="1:11" ht="22.5">
      <c r="A21" s="14" t="s">
        <v>16</v>
      </c>
      <c r="B21" s="28" t="s">
        <v>28</v>
      </c>
      <c r="C21" s="17" t="s">
        <v>55</v>
      </c>
      <c r="D21" s="4" t="s">
        <v>56</v>
      </c>
      <c r="E21" s="31" t="s">
        <v>57</v>
      </c>
      <c r="F21" s="29" t="s">
        <v>58</v>
      </c>
      <c r="G21" s="21" t="s">
        <v>40</v>
      </c>
      <c r="H21" s="5" t="s">
        <v>59</v>
      </c>
      <c r="I21" s="5"/>
      <c r="J21" s="29" t="s">
        <v>179</v>
      </c>
      <c r="K21" s="35" t="s">
        <v>288</v>
      </c>
    </row>
    <row r="22" spans="1:11" ht="22.5">
      <c r="A22" s="14" t="s">
        <v>16</v>
      </c>
      <c r="B22" s="28" t="s">
        <v>28</v>
      </c>
      <c r="C22" s="17" t="s">
        <v>55</v>
      </c>
      <c r="D22" s="4" t="s">
        <v>56</v>
      </c>
      <c r="E22" s="31" t="s">
        <v>57</v>
      </c>
      <c r="F22" s="29" t="s">
        <v>60</v>
      </c>
      <c r="G22" s="21" t="s">
        <v>46</v>
      </c>
      <c r="H22" s="5" t="s">
        <v>59</v>
      </c>
      <c r="I22" s="5"/>
      <c r="J22" s="29" t="s">
        <v>180</v>
      </c>
      <c r="K22" s="35" t="s">
        <v>288</v>
      </c>
    </row>
    <row r="23" spans="1:11" ht="22.5">
      <c r="A23" s="14" t="s">
        <v>16</v>
      </c>
      <c r="B23" s="28" t="s">
        <v>28</v>
      </c>
      <c r="C23" s="17" t="s">
        <v>55</v>
      </c>
      <c r="D23" s="4" t="s">
        <v>56</v>
      </c>
      <c r="E23" s="31" t="s">
        <v>61</v>
      </c>
      <c r="F23" s="31" t="s">
        <v>14</v>
      </c>
      <c r="G23" s="21" t="s">
        <v>22</v>
      </c>
      <c r="H23" s="5" t="s">
        <v>12</v>
      </c>
      <c r="I23" s="5"/>
      <c r="J23" s="29" t="s">
        <v>175</v>
      </c>
      <c r="K23" s="5" t="s">
        <v>290</v>
      </c>
    </row>
    <row r="24" spans="1:11" ht="18" customHeight="1">
      <c r="A24" s="14" t="s">
        <v>16</v>
      </c>
      <c r="B24" s="28" t="s">
        <v>28</v>
      </c>
      <c r="C24" s="3" t="s">
        <v>62</v>
      </c>
      <c r="D24" s="4" t="s">
        <v>63</v>
      </c>
      <c r="E24" s="29" t="s">
        <v>64</v>
      </c>
      <c r="F24" s="29" t="s">
        <v>14</v>
      </c>
      <c r="G24" s="21" t="s">
        <v>22</v>
      </c>
      <c r="H24" s="6" t="s">
        <v>32</v>
      </c>
      <c r="I24" s="43" t="s">
        <v>309</v>
      </c>
      <c r="J24" s="29" t="s">
        <v>181</v>
      </c>
      <c r="K24" s="5" t="s">
        <v>291</v>
      </c>
    </row>
    <row r="25" spans="1:11" ht="18" customHeight="1">
      <c r="A25" s="15" t="s">
        <v>65</v>
      </c>
      <c r="B25" s="12" t="s">
        <v>66</v>
      </c>
      <c r="C25" s="10" t="s">
        <v>67</v>
      </c>
      <c r="D25" s="7" t="s">
        <v>68</v>
      </c>
      <c r="E25" s="29" t="s">
        <v>69</v>
      </c>
      <c r="F25" s="29" t="s">
        <v>70</v>
      </c>
      <c r="G25" s="20" t="s">
        <v>46</v>
      </c>
      <c r="H25" s="6" t="s">
        <v>71</v>
      </c>
      <c r="J25" s="29" t="s">
        <v>182</v>
      </c>
      <c r="K25" s="29" t="s">
        <v>182</v>
      </c>
    </row>
    <row r="26" spans="1:11" ht="18" customHeight="1">
      <c r="A26" s="15" t="s">
        <v>65</v>
      </c>
      <c r="B26" s="12" t="s">
        <v>66</v>
      </c>
      <c r="C26" s="10" t="s">
        <v>67</v>
      </c>
      <c r="D26" s="7" t="s">
        <v>68</v>
      </c>
      <c r="E26" s="29" t="s">
        <v>72</v>
      </c>
      <c r="F26" s="29" t="s">
        <v>70</v>
      </c>
      <c r="G26" s="20" t="s">
        <v>46</v>
      </c>
      <c r="H26" s="6" t="s">
        <v>71</v>
      </c>
      <c r="J26" s="29" t="s">
        <v>183</v>
      </c>
      <c r="K26" s="29" t="s">
        <v>183</v>
      </c>
    </row>
    <row r="27" spans="1:11" ht="18" customHeight="1">
      <c r="A27" s="15" t="s">
        <v>65</v>
      </c>
      <c r="B27" s="12" t="s">
        <v>66</v>
      </c>
      <c r="C27" s="10" t="s">
        <v>73</v>
      </c>
      <c r="D27" s="7" t="s">
        <v>74</v>
      </c>
      <c r="E27" s="29" t="s">
        <v>75</v>
      </c>
      <c r="F27" s="29" t="s">
        <v>70</v>
      </c>
      <c r="G27" s="20" t="s">
        <v>46</v>
      </c>
      <c r="H27" s="6" t="s">
        <v>71</v>
      </c>
      <c r="J27" s="29" t="s">
        <v>182</v>
      </c>
      <c r="K27" s="29" t="s">
        <v>182</v>
      </c>
    </row>
    <row r="28" spans="1:11" ht="18" customHeight="1">
      <c r="A28" s="15" t="s">
        <v>65</v>
      </c>
      <c r="B28" s="12" t="s">
        <v>66</v>
      </c>
      <c r="C28" s="10" t="s">
        <v>73</v>
      </c>
      <c r="D28" s="7" t="s">
        <v>74</v>
      </c>
      <c r="E28" s="29" t="s">
        <v>76</v>
      </c>
      <c r="F28" s="29" t="s">
        <v>70</v>
      </c>
      <c r="G28" s="20" t="s">
        <v>46</v>
      </c>
      <c r="H28" s="6" t="s">
        <v>71</v>
      </c>
      <c r="J28" s="29" t="s">
        <v>182</v>
      </c>
      <c r="K28" s="29" t="s">
        <v>182</v>
      </c>
    </row>
    <row r="29" spans="1:11" ht="18" customHeight="1">
      <c r="A29" s="15" t="s">
        <v>65</v>
      </c>
      <c r="B29" s="12" t="s">
        <v>66</v>
      </c>
      <c r="C29" s="10" t="s">
        <v>73</v>
      </c>
      <c r="D29" s="7" t="s">
        <v>74</v>
      </c>
      <c r="E29" s="29" t="s">
        <v>77</v>
      </c>
      <c r="F29" s="29" t="s">
        <v>70</v>
      </c>
      <c r="G29" s="20" t="s">
        <v>46</v>
      </c>
      <c r="H29" s="6" t="s">
        <v>71</v>
      </c>
      <c r="J29" s="29" t="s">
        <v>183</v>
      </c>
      <c r="K29" s="29" t="s">
        <v>183</v>
      </c>
    </row>
    <row r="30" spans="1:11" ht="18" customHeight="1">
      <c r="A30" s="15" t="s">
        <v>65</v>
      </c>
      <c r="B30" s="12" t="s">
        <v>66</v>
      </c>
      <c r="C30" s="10" t="s">
        <v>78</v>
      </c>
      <c r="D30" s="7" t="s">
        <v>79</v>
      </c>
      <c r="E30" s="29" t="s">
        <v>80</v>
      </c>
      <c r="F30" s="29" t="s">
        <v>70</v>
      </c>
      <c r="G30" s="20" t="s">
        <v>46</v>
      </c>
      <c r="H30" s="6" t="s">
        <v>71</v>
      </c>
      <c r="J30" s="29" t="s">
        <v>184</v>
      </c>
      <c r="K30" s="29" t="s">
        <v>184</v>
      </c>
    </row>
    <row r="31" spans="1:11" ht="18" customHeight="1">
      <c r="A31" s="15" t="s">
        <v>65</v>
      </c>
      <c r="B31" s="12" t="s">
        <v>66</v>
      </c>
      <c r="C31" s="10" t="s">
        <v>78</v>
      </c>
      <c r="D31" s="7" t="s">
        <v>79</v>
      </c>
      <c r="E31" s="29" t="s">
        <v>81</v>
      </c>
      <c r="F31" s="29" t="s">
        <v>70</v>
      </c>
      <c r="G31" s="20" t="s">
        <v>46</v>
      </c>
      <c r="H31" s="6" t="s">
        <v>71</v>
      </c>
      <c r="J31" s="29" t="s">
        <v>185</v>
      </c>
      <c r="K31" s="29" t="s">
        <v>185</v>
      </c>
    </row>
    <row r="32" spans="1:11" ht="18" customHeight="1">
      <c r="A32" s="15" t="s">
        <v>65</v>
      </c>
      <c r="B32" s="12" t="s">
        <v>66</v>
      </c>
      <c r="C32" s="10" t="s">
        <v>82</v>
      </c>
      <c r="D32" s="7" t="s">
        <v>83</v>
      </c>
      <c r="E32" s="29" t="s">
        <v>84</v>
      </c>
      <c r="F32" s="29" t="s">
        <v>292</v>
      </c>
      <c r="G32" s="20" t="s">
        <v>22</v>
      </c>
      <c r="H32" s="5" t="s">
        <v>32</v>
      </c>
      <c r="I32" s="5"/>
      <c r="J32" s="29" t="s">
        <v>187</v>
      </c>
      <c r="K32" s="128" t="s">
        <v>294</v>
      </c>
    </row>
    <row r="33" spans="1:11" ht="18" customHeight="1">
      <c r="A33" s="15" t="s">
        <v>65</v>
      </c>
      <c r="B33" s="12" t="s">
        <v>66</v>
      </c>
      <c r="C33" s="10" t="s">
        <v>82</v>
      </c>
      <c r="D33" s="7" t="s">
        <v>83</v>
      </c>
      <c r="E33" s="29" t="s">
        <v>84</v>
      </c>
      <c r="F33" s="29" t="s">
        <v>85</v>
      </c>
      <c r="G33" s="20" t="b">
        <v>1</v>
      </c>
      <c r="H33" s="5" t="s">
        <v>32</v>
      </c>
      <c r="I33" s="5"/>
      <c r="J33" s="29" t="s">
        <v>186</v>
      </c>
      <c r="K33" s="129"/>
    </row>
    <row r="34" spans="1:11" ht="18" customHeight="1">
      <c r="A34" s="15" t="s">
        <v>65</v>
      </c>
      <c r="B34" s="12" t="s">
        <v>66</v>
      </c>
      <c r="C34" s="10" t="s">
        <v>82</v>
      </c>
      <c r="D34" s="7" t="s">
        <v>83</v>
      </c>
      <c r="E34" s="29" t="s">
        <v>84</v>
      </c>
      <c r="F34" s="29" t="s">
        <v>86</v>
      </c>
      <c r="G34" s="20" t="b">
        <v>1</v>
      </c>
      <c r="H34" s="5" t="s">
        <v>32</v>
      </c>
      <c r="I34" s="5"/>
      <c r="J34" s="29" t="s">
        <v>186</v>
      </c>
      <c r="K34" s="129"/>
    </row>
    <row r="35" spans="1:11" ht="18" customHeight="1">
      <c r="A35" s="15" t="s">
        <v>65</v>
      </c>
      <c r="B35" s="12" t="s">
        <v>66</v>
      </c>
      <c r="C35" s="10" t="s">
        <v>82</v>
      </c>
      <c r="D35" s="7" t="s">
        <v>83</v>
      </c>
      <c r="E35" s="29" t="s">
        <v>84</v>
      </c>
      <c r="F35" s="29" t="s">
        <v>87</v>
      </c>
      <c r="G35" s="20" t="b">
        <v>1</v>
      </c>
      <c r="H35" s="5" t="s">
        <v>32</v>
      </c>
      <c r="I35" s="5"/>
      <c r="J35" s="29" t="s">
        <v>186</v>
      </c>
      <c r="K35" s="129"/>
    </row>
    <row r="36" spans="1:11" ht="18" customHeight="1">
      <c r="A36" s="15" t="s">
        <v>65</v>
      </c>
      <c r="B36" s="12" t="s">
        <v>66</v>
      </c>
      <c r="C36" s="10" t="s">
        <v>82</v>
      </c>
      <c r="D36" s="7" t="s">
        <v>83</v>
      </c>
      <c r="E36" s="29" t="s">
        <v>84</v>
      </c>
      <c r="F36" s="29" t="s">
        <v>88</v>
      </c>
      <c r="G36" s="20" t="b">
        <v>1</v>
      </c>
      <c r="H36" s="5" t="s">
        <v>32</v>
      </c>
      <c r="I36" s="5"/>
      <c r="J36" s="29" t="s">
        <v>186</v>
      </c>
      <c r="K36" s="129"/>
    </row>
    <row r="37" spans="1:11" ht="18" customHeight="1">
      <c r="A37" s="15" t="s">
        <v>65</v>
      </c>
      <c r="B37" s="12" t="s">
        <v>66</v>
      </c>
      <c r="C37" s="10" t="s">
        <v>82</v>
      </c>
      <c r="D37" s="7" t="s">
        <v>83</v>
      </c>
      <c r="E37" s="29" t="s">
        <v>84</v>
      </c>
      <c r="F37" s="29" t="s">
        <v>89</v>
      </c>
      <c r="G37" s="20" t="b">
        <v>1</v>
      </c>
      <c r="H37" s="5" t="s">
        <v>32</v>
      </c>
      <c r="I37" s="5"/>
      <c r="J37" s="29" t="s">
        <v>186</v>
      </c>
      <c r="K37" s="129"/>
    </row>
    <row r="38" spans="1:11" ht="18" customHeight="1">
      <c r="A38" s="15" t="s">
        <v>65</v>
      </c>
      <c r="B38" s="12" t="s">
        <v>66</v>
      </c>
      <c r="C38" s="10" t="s">
        <v>82</v>
      </c>
      <c r="D38" s="7" t="s">
        <v>83</v>
      </c>
      <c r="E38" s="29" t="s">
        <v>84</v>
      </c>
      <c r="F38" s="29" t="s">
        <v>90</v>
      </c>
      <c r="G38" s="20" t="b">
        <v>1</v>
      </c>
      <c r="H38" s="5" t="s">
        <v>32</v>
      </c>
      <c r="I38" s="5"/>
      <c r="J38" s="29" t="s">
        <v>186</v>
      </c>
      <c r="K38" s="129"/>
    </row>
    <row r="39" spans="1:11" ht="18" customHeight="1">
      <c r="A39" s="15" t="s">
        <v>65</v>
      </c>
      <c r="B39" s="12" t="s">
        <v>66</v>
      </c>
      <c r="C39" s="10" t="s">
        <v>82</v>
      </c>
      <c r="D39" s="7" t="s">
        <v>83</v>
      </c>
      <c r="E39" s="29" t="s">
        <v>84</v>
      </c>
      <c r="F39" s="29" t="s">
        <v>91</v>
      </c>
      <c r="G39" s="20" t="b">
        <v>1</v>
      </c>
      <c r="H39" s="5" t="s">
        <v>32</v>
      </c>
      <c r="I39" s="5"/>
      <c r="J39" s="29" t="s">
        <v>186</v>
      </c>
      <c r="K39" s="129"/>
    </row>
    <row r="40" spans="1:11" ht="18" customHeight="1">
      <c r="A40" s="15" t="s">
        <v>65</v>
      </c>
      <c r="B40" s="12" t="s">
        <v>66</v>
      </c>
      <c r="C40" s="10" t="s">
        <v>82</v>
      </c>
      <c r="D40" s="7" t="s">
        <v>83</v>
      </c>
      <c r="E40" s="29" t="s">
        <v>84</v>
      </c>
      <c r="F40" s="29" t="s">
        <v>92</v>
      </c>
      <c r="G40" s="20" t="b">
        <v>1</v>
      </c>
      <c r="H40" s="5" t="s">
        <v>32</v>
      </c>
      <c r="I40" s="5"/>
      <c r="J40" s="29" t="s">
        <v>186</v>
      </c>
      <c r="K40" s="129"/>
    </row>
    <row r="41" spans="1:11" ht="18" customHeight="1">
      <c r="A41" s="15" t="s">
        <v>65</v>
      </c>
      <c r="B41" s="12" t="s">
        <v>66</v>
      </c>
      <c r="C41" s="10" t="s">
        <v>82</v>
      </c>
      <c r="D41" s="7" t="s">
        <v>83</v>
      </c>
      <c r="E41" s="29" t="s">
        <v>84</v>
      </c>
      <c r="F41" s="29" t="s">
        <v>93</v>
      </c>
      <c r="G41" s="20" t="b">
        <v>1</v>
      </c>
      <c r="H41" s="5" t="s">
        <v>32</v>
      </c>
      <c r="I41" s="5"/>
      <c r="J41" s="29" t="s">
        <v>186</v>
      </c>
      <c r="K41" s="130"/>
    </row>
    <row r="42" spans="1:11" ht="18" customHeight="1">
      <c r="A42" s="15" t="s">
        <v>65</v>
      </c>
      <c r="B42" s="12" t="s">
        <v>66</v>
      </c>
      <c r="C42" s="10" t="s">
        <v>94</v>
      </c>
      <c r="D42" s="7" t="s">
        <v>95</v>
      </c>
      <c r="E42" s="29" t="s">
        <v>96</v>
      </c>
      <c r="F42" s="29" t="s">
        <v>293</v>
      </c>
      <c r="G42" s="20" t="s">
        <v>22</v>
      </c>
      <c r="H42" s="5" t="s">
        <v>97</v>
      </c>
      <c r="I42" s="5"/>
      <c r="J42" s="29" t="s">
        <v>188</v>
      </c>
      <c r="K42" s="128" t="s">
        <v>295</v>
      </c>
    </row>
    <row r="43" spans="1:11" ht="18" customHeight="1">
      <c r="A43" s="15" t="s">
        <v>65</v>
      </c>
      <c r="B43" s="12" t="s">
        <v>66</v>
      </c>
      <c r="C43" s="10" t="s">
        <v>94</v>
      </c>
      <c r="D43" s="7" t="s">
        <v>95</v>
      </c>
      <c r="E43" s="29" t="s">
        <v>96</v>
      </c>
      <c r="F43" s="29" t="s">
        <v>98</v>
      </c>
      <c r="G43" s="21" t="s">
        <v>99</v>
      </c>
      <c r="H43" s="5" t="s">
        <v>97</v>
      </c>
      <c r="I43" s="5"/>
      <c r="J43" s="29" t="s">
        <v>188</v>
      </c>
      <c r="K43" s="129"/>
    </row>
    <row r="44" spans="1:11" ht="18" customHeight="1">
      <c r="A44" s="15" t="s">
        <v>65</v>
      </c>
      <c r="B44" s="12" t="s">
        <v>66</v>
      </c>
      <c r="C44" s="10" t="s">
        <v>94</v>
      </c>
      <c r="D44" s="7" t="s">
        <v>95</v>
      </c>
      <c r="E44" s="29" t="s">
        <v>96</v>
      </c>
      <c r="F44" s="29" t="s">
        <v>311</v>
      </c>
      <c r="G44" s="21" t="s">
        <v>22</v>
      </c>
      <c r="H44" s="5" t="s">
        <v>97</v>
      </c>
      <c r="I44" s="5"/>
      <c r="J44" s="29" t="s">
        <v>188</v>
      </c>
      <c r="K44" s="129"/>
    </row>
    <row r="45" spans="1:11" ht="18" customHeight="1">
      <c r="A45" s="15" t="s">
        <v>65</v>
      </c>
      <c r="B45" s="12" t="s">
        <v>66</v>
      </c>
      <c r="C45" s="10" t="s">
        <v>94</v>
      </c>
      <c r="D45" s="7" t="s">
        <v>95</v>
      </c>
      <c r="E45" s="29" t="s">
        <v>96</v>
      </c>
      <c r="F45" s="29" t="s">
        <v>100</v>
      </c>
      <c r="G45" s="20" t="b">
        <v>1</v>
      </c>
      <c r="H45" s="5" t="s">
        <v>97</v>
      </c>
      <c r="I45" s="5"/>
      <c r="J45" s="29" t="s">
        <v>183</v>
      </c>
      <c r="K45" s="129"/>
    </row>
    <row r="46" spans="1:11" ht="18" customHeight="1">
      <c r="A46" s="15" t="s">
        <v>65</v>
      </c>
      <c r="B46" s="12" t="s">
        <v>66</v>
      </c>
      <c r="C46" s="10" t="s">
        <v>94</v>
      </c>
      <c r="D46" s="7" t="s">
        <v>95</v>
      </c>
      <c r="E46" s="29" t="s">
        <v>96</v>
      </c>
      <c r="F46" s="29" t="s">
        <v>101</v>
      </c>
      <c r="G46" s="21" t="s">
        <v>22</v>
      </c>
      <c r="H46" s="5" t="s">
        <v>97</v>
      </c>
      <c r="I46" s="5"/>
      <c r="J46" s="29" t="s">
        <v>183</v>
      </c>
      <c r="K46" s="130"/>
    </row>
    <row r="47" spans="1:11" ht="33.75" customHeight="1">
      <c r="A47" s="15" t="s">
        <v>65</v>
      </c>
      <c r="B47" s="12" t="s">
        <v>102</v>
      </c>
      <c r="C47" s="10" t="s">
        <v>103</v>
      </c>
      <c r="D47" s="7" t="s">
        <v>104</v>
      </c>
      <c r="E47" s="29" t="s">
        <v>105</v>
      </c>
      <c r="F47" s="29" t="s">
        <v>106</v>
      </c>
      <c r="G47" s="21" t="s">
        <v>99</v>
      </c>
      <c r="H47" s="5" t="s">
        <v>12</v>
      </c>
      <c r="I47" s="5"/>
      <c r="J47" s="29" t="s">
        <v>189</v>
      </c>
      <c r="K47" s="128" t="s">
        <v>296</v>
      </c>
    </row>
    <row r="48" spans="1:11" ht="33.75">
      <c r="A48" s="15" t="s">
        <v>65</v>
      </c>
      <c r="B48" s="12" t="s">
        <v>102</v>
      </c>
      <c r="C48" s="10" t="s">
        <v>103</v>
      </c>
      <c r="D48" s="7" t="s">
        <v>104</v>
      </c>
      <c r="E48" s="29" t="s">
        <v>105</v>
      </c>
      <c r="F48" s="29" t="s">
        <v>107</v>
      </c>
      <c r="G48" s="21" t="s">
        <v>22</v>
      </c>
      <c r="H48" s="5" t="s">
        <v>12</v>
      </c>
      <c r="I48" s="5"/>
      <c r="J48" s="29" t="s">
        <v>189</v>
      </c>
      <c r="K48" s="129"/>
    </row>
    <row r="49" spans="1:11" ht="33.75">
      <c r="A49" s="15" t="s">
        <v>65</v>
      </c>
      <c r="B49" s="12" t="s">
        <v>102</v>
      </c>
      <c r="C49" s="10" t="s">
        <v>103</v>
      </c>
      <c r="D49" s="7" t="s">
        <v>104</v>
      </c>
      <c r="E49" s="29" t="s">
        <v>105</v>
      </c>
      <c r="F49" s="29" t="s">
        <v>108</v>
      </c>
      <c r="G49" s="21" t="s">
        <v>22</v>
      </c>
      <c r="H49" s="5" t="s">
        <v>12</v>
      </c>
      <c r="I49" s="5"/>
      <c r="J49" s="29" t="s">
        <v>190</v>
      </c>
      <c r="K49" s="129"/>
    </row>
    <row r="50" spans="1:11" ht="18" customHeight="1">
      <c r="A50" s="15" t="s">
        <v>65</v>
      </c>
      <c r="B50" s="12" t="s">
        <v>102</v>
      </c>
      <c r="C50" s="10" t="s">
        <v>103</v>
      </c>
      <c r="D50" s="7" t="s">
        <v>104</v>
      </c>
      <c r="E50" s="29" t="s">
        <v>105</v>
      </c>
      <c r="F50" s="29" t="s">
        <v>109</v>
      </c>
      <c r="G50" s="21" t="s">
        <v>22</v>
      </c>
      <c r="H50" s="5" t="s">
        <v>12</v>
      </c>
      <c r="I50" s="5"/>
      <c r="J50" s="29" t="s">
        <v>189</v>
      </c>
      <c r="K50" s="130"/>
    </row>
    <row r="51" spans="1:11" ht="33.75">
      <c r="A51" s="15" t="s">
        <v>65</v>
      </c>
      <c r="B51" s="12" t="s">
        <v>110</v>
      </c>
      <c r="C51" s="10" t="s">
        <v>111</v>
      </c>
      <c r="D51" s="7" t="s">
        <v>112</v>
      </c>
      <c r="E51" s="29" t="s">
        <v>113</v>
      </c>
      <c r="F51" s="29" t="s">
        <v>14</v>
      </c>
      <c r="G51" s="21" t="s">
        <v>99</v>
      </c>
      <c r="H51" s="6" t="s">
        <v>97</v>
      </c>
      <c r="J51" s="29" t="s">
        <v>191</v>
      </c>
      <c r="K51" s="31" t="s">
        <v>297</v>
      </c>
    </row>
    <row r="52" spans="1:11" ht="45">
      <c r="A52" s="16" t="s">
        <v>114</v>
      </c>
      <c r="B52" s="11" t="s">
        <v>115</v>
      </c>
      <c r="C52" s="8" t="s">
        <v>116</v>
      </c>
      <c r="D52" s="9" t="s">
        <v>117</v>
      </c>
      <c r="E52" s="29" t="s">
        <v>118</v>
      </c>
      <c r="F52" s="29" t="s">
        <v>119</v>
      </c>
      <c r="G52" s="21" t="s">
        <v>22</v>
      </c>
      <c r="H52" s="5" t="s">
        <v>32</v>
      </c>
      <c r="I52" s="5"/>
      <c r="J52" s="29" t="s">
        <v>193</v>
      </c>
      <c r="K52" s="31" t="s">
        <v>298</v>
      </c>
    </row>
    <row r="53" spans="1:11" ht="45" customHeight="1">
      <c r="A53" s="16" t="s">
        <v>114</v>
      </c>
      <c r="B53" s="11" t="s">
        <v>115</v>
      </c>
      <c r="C53" s="8" t="s">
        <v>116</v>
      </c>
      <c r="D53" s="9" t="s">
        <v>117</v>
      </c>
      <c r="E53" s="29" t="s">
        <v>118</v>
      </c>
      <c r="F53" s="29" t="s">
        <v>120</v>
      </c>
      <c r="G53" s="21" t="s">
        <v>22</v>
      </c>
      <c r="H53" s="5" t="s">
        <v>32</v>
      </c>
      <c r="I53" s="5"/>
      <c r="J53" s="29" t="s">
        <v>192</v>
      </c>
      <c r="K53" s="128" t="s">
        <v>299</v>
      </c>
    </row>
    <row r="54" spans="1:11" ht="45">
      <c r="A54" s="16" t="s">
        <v>114</v>
      </c>
      <c r="B54" s="11" t="s">
        <v>115</v>
      </c>
      <c r="C54" s="8" t="s">
        <v>116</v>
      </c>
      <c r="D54" s="9" t="s">
        <v>117</v>
      </c>
      <c r="E54" s="29" t="s">
        <v>118</v>
      </c>
      <c r="F54" s="29" t="s">
        <v>121</v>
      </c>
      <c r="G54" s="21" t="s">
        <v>22</v>
      </c>
      <c r="H54" s="5" t="s">
        <v>32</v>
      </c>
      <c r="I54" s="5"/>
      <c r="J54" s="29" t="s">
        <v>194</v>
      </c>
      <c r="K54" s="130"/>
    </row>
    <row r="55" spans="1:11" ht="45">
      <c r="A55" s="16" t="s">
        <v>114</v>
      </c>
      <c r="B55" s="11" t="s">
        <v>115</v>
      </c>
      <c r="C55" s="8" t="s">
        <v>116</v>
      </c>
      <c r="D55" s="9" t="s">
        <v>117</v>
      </c>
      <c r="E55" s="29" t="s">
        <v>122</v>
      </c>
      <c r="F55" s="29" t="s">
        <v>123</v>
      </c>
      <c r="G55" s="21" t="s">
        <v>22</v>
      </c>
      <c r="H55" s="5" t="s">
        <v>32</v>
      </c>
      <c r="I55" s="5"/>
      <c r="J55" s="29" t="s">
        <v>195</v>
      </c>
      <c r="K55" s="31" t="s">
        <v>300</v>
      </c>
    </row>
    <row r="56" spans="1:11" ht="18" customHeight="1">
      <c r="A56" s="16" t="s">
        <v>114</v>
      </c>
      <c r="B56" s="11" t="s">
        <v>115</v>
      </c>
      <c r="C56" s="8" t="s">
        <v>116</v>
      </c>
      <c r="D56" s="9" t="s">
        <v>117</v>
      </c>
      <c r="E56" s="29" t="s">
        <v>122</v>
      </c>
      <c r="F56" s="29" t="s">
        <v>124</v>
      </c>
      <c r="G56" s="20" t="b">
        <v>0</v>
      </c>
      <c r="H56" s="5" t="s">
        <v>32</v>
      </c>
      <c r="I56" s="5"/>
      <c r="J56" s="29" t="s">
        <v>196</v>
      </c>
      <c r="K56" s="5" t="s">
        <v>301</v>
      </c>
    </row>
    <row r="57" spans="1:11" ht="112.5">
      <c r="A57" s="16" t="s">
        <v>114</v>
      </c>
      <c r="B57" s="11" t="s">
        <v>115</v>
      </c>
      <c r="C57" s="8" t="s">
        <v>116</v>
      </c>
      <c r="D57" s="9" t="s">
        <v>117</v>
      </c>
      <c r="E57" s="31" t="s">
        <v>125</v>
      </c>
      <c r="F57" s="29" t="s">
        <v>126</v>
      </c>
      <c r="G57" s="21" t="s">
        <v>22</v>
      </c>
      <c r="H57" s="5" t="s">
        <v>32</v>
      </c>
      <c r="I57" s="5"/>
      <c r="J57" s="29" t="s">
        <v>194</v>
      </c>
      <c r="K57" s="31" t="s">
        <v>302</v>
      </c>
    </row>
    <row r="58" spans="1:11" ht="18" customHeight="1">
      <c r="A58" s="16" t="s">
        <v>114</v>
      </c>
      <c r="B58" s="11" t="s">
        <v>115</v>
      </c>
      <c r="C58" s="8" t="s">
        <v>116</v>
      </c>
      <c r="D58" s="9" t="s">
        <v>117</v>
      </c>
      <c r="E58" s="31" t="s">
        <v>125</v>
      </c>
      <c r="F58" s="29" t="s">
        <v>127</v>
      </c>
      <c r="G58" s="21" t="s">
        <v>22</v>
      </c>
      <c r="H58" s="5" t="s">
        <v>32</v>
      </c>
      <c r="I58" s="5"/>
      <c r="J58" s="29" t="s">
        <v>197</v>
      </c>
      <c r="K58" s="35" t="s">
        <v>288</v>
      </c>
    </row>
    <row r="59" spans="1:11" ht="18" customHeight="1">
      <c r="A59" s="16" t="s">
        <v>114</v>
      </c>
      <c r="B59" s="11" t="s">
        <v>115</v>
      </c>
      <c r="C59" s="8" t="s">
        <v>116</v>
      </c>
      <c r="D59" s="9" t="s">
        <v>117</v>
      </c>
      <c r="E59" s="31" t="s">
        <v>125</v>
      </c>
      <c r="F59" s="29" t="s">
        <v>128</v>
      </c>
      <c r="G59" s="21" t="s">
        <v>22</v>
      </c>
      <c r="H59" s="5" t="s">
        <v>32</v>
      </c>
      <c r="I59" s="5"/>
      <c r="J59" s="29" t="s">
        <v>197</v>
      </c>
      <c r="K59" s="35" t="s">
        <v>288</v>
      </c>
    </row>
    <row r="60" spans="1:11" ht="18" customHeight="1">
      <c r="A60" s="16" t="s">
        <v>114</v>
      </c>
      <c r="B60" s="11" t="s">
        <v>115</v>
      </c>
      <c r="C60" s="8" t="s">
        <v>116</v>
      </c>
      <c r="D60" s="9" t="s">
        <v>117</v>
      </c>
      <c r="E60" s="31" t="s">
        <v>125</v>
      </c>
      <c r="F60" s="29" t="s">
        <v>129</v>
      </c>
      <c r="G60" s="21" t="s">
        <v>22</v>
      </c>
      <c r="H60" s="5" t="s">
        <v>32</v>
      </c>
      <c r="I60" s="5"/>
      <c r="J60" s="29" t="s">
        <v>197</v>
      </c>
      <c r="K60" s="35" t="s">
        <v>288</v>
      </c>
    </row>
    <row r="61" spans="1:11" ht="33" customHeight="1">
      <c r="A61" s="16" t="s">
        <v>114</v>
      </c>
      <c r="B61" s="11" t="s">
        <v>115</v>
      </c>
      <c r="C61" s="8" t="s">
        <v>130</v>
      </c>
      <c r="D61" s="9" t="s">
        <v>131</v>
      </c>
      <c r="E61" s="57" t="s">
        <v>132</v>
      </c>
      <c r="F61" s="29" t="s">
        <v>14</v>
      </c>
      <c r="G61" s="21" t="s">
        <v>99</v>
      </c>
      <c r="H61" s="6" t="s">
        <v>12</v>
      </c>
      <c r="J61" s="29" t="s">
        <v>200</v>
      </c>
      <c r="K61" s="5" t="s">
        <v>303</v>
      </c>
    </row>
    <row r="62" spans="1:11" ht="22.5">
      <c r="A62" s="16" t="s">
        <v>114</v>
      </c>
      <c r="B62" s="11" t="s">
        <v>115</v>
      </c>
      <c r="C62" s="8" t="s">
        <v>133</v>
      </c>
      <c r="D62" s="9" t="s">
        <v>134</v>
      </c>
      <c r="E62" s="31" t="s">
        <v>135</v>
      </c>
      <c r="F62" s="29" t="s">
        <v>313</v>
      </c>
      <c r="G62" s="20" t="b">
        <v>0</v>
      </c>
      <c r="H62" s="5" t="s">
        <v>136</v>
      </c>
      <c r="I62" s="36"/>
      <c r="J62" s="133" t="s">
        <v>199</v>
      </c>
      <c r="K62" s="5" t="s">
        <v>306</v>
      </c>
    </row>
    <row r="63" spans="1:11" ht="22.5">
      <c r="A63" s="16" t="s">
        <v>114</v>
      </c>
      <c r="B63" s="11" t="s">
        <v>115</v>
      </c>
      <c r="C63" s="8" t="s">
        <v>133</v>
      </c>
      <c r="D63" s="9" t="s">
        <v>134</v>
      </c>
      <c r="E63" s="31" t="s">
        <v>135</v>
      </c>
      <c r="F63" s="29" t="s">
        <v>137</v>
      </c>
      <c r="G63" s="20" t="b">
        <v>0</v>
      </c>
      <c r="H63" s="5" t="s">
        <v>136</v>
      </c>
      <c r="I63" s="37"/>
      <c r="J63" s="134"/>
      <c r="K63" s="5" t="s">
        <v>306</v>
      </c>
    </row>
    <row r="64" spans="1:11" ht="22.5">
      <c r="A64" s="16" t="s">
        <v>114</v>
      </c>
      <c r="B64" s="11" t="s">
        <v>115</v>
      </c>
      <c r="C64" s="8" t="s">
        <v>133</v>
      </c>
      <c r="D64" s="9" t="s">
        <v>134</v>
      </c>
      <c r="E64" s="31" t="s">
        <v>135</v>
      </c>
      <c r="F64" s="29" t="s">
        <v>138</v>
      </c>
      <c r="G64" s="20" t="b">
        <v>0</v>
      </c>
      <c r="H64" s="5" t="s">
        <v>136</v>
      </c>
      <c r="I64" s="37"/>
      <c r="J64" s="134"/>
      <c r="K64" s="5" t="s">
        <v>306</v>
      </c>
    </row>
    <row r="65" spans="1:11" ht="22.5">
      <c r="A65" s="16" t="s">
        <v>114</v>
      </c>
      <c r="B65" s="11" t="s">
        <v>115</v>
      </c>
      <c r="C65" s="8" t="s">
        <v>133</v>
      </c>
      <c r="D65" s="9" t="s">
        <v>134</v>
      </c>
      <c r="E65" s="31" t="s">
        <v>135</v>
      </c>
      <c r="F65" s="29" t="s">
        <v>139</v>
      </c>
      <c r="G65" s="20" t="b">
        <v>0</v>
      </c>
      <c r="H65" s="5" t="s">
        <v>136</v>
      </c>
      <c r="I65" s="37"/>
      <c r="J65" s="134"/>
      <c r="K65" s="5" t="s">
        <v>306</v>
      </c>
    </row>
    <row r="66" spans="1:11" ht="18" customHeight="1">
      <c r="A66" s="16" t="s">
        <v>114</v>
      </c>
      <c r="B66" s="11" t="s">
        <v>115</v>
      </c>
      <c r="C66" s="8" t="s">
        <v>133</v>
      </c>
      <c r="D66" s="9" t="s">
        <v>134</v>
      </c>
      <c r="E66" s="31" t="s">
        <v>140</v>
      </c>
      <c r="F66" s="29" t="s">
        <v>14</v>
      </c>
      <c r="G66" s="21" t="s">
        <v>22</v>
      </c>
      <c r="H66" s="5" t="s">
        <v>136</v>
      </c>
      <c r="I66" s="38"/>
      <c r="J66" s="135"/>
      <c r="K66" s="5" t="s">
        <v>306</v>
      </c>
    </row>
    <row r="67" spans="1:11" ht="18" customHeight="1">
      <c r="A67" s="16" t="s">
        <v>114</v>
      </c>
      <c r="B67" s="11" t="s">
        <v>115</v>
      </c>
      <c r="C67" s="8" t="s">
        <v>141</v>
      </c>
      <c r="D67" s="9" t="s">
        <v>142</v>
      </c>
      <c r="E67" s="31" t="s">
        <v>143</v>
      </c>
      <c r="F67" s="29" t="s">
        <v>312</v>
      </c>
      <c r="G67" s="20" t="b">
        <v>0</v>
      </c>
      <c r="H67" s="5" t="s">
        <v>12</v>
      </c>
      <c r="I67" s="5"/>
      <c r="J67" s="29" t="s">
        <v>196</v>
      </c>
      <c r="K67" s="128" t="s">
        <v>304</v>
      </c>
    </row>
    <row r="68" spans="1:11" ht="18" customHeight="1">
      <c r="A68" s="16" t="s">
        <v>114</v>
      </c>
      <c r="B68" s="11" t="s">
        <v>115</v>
      </c>
      <c r="C68" s="8" t="s">
        <v>141</v>
      </c>
      <c r="D68" s="9" t="s">
        <v>142</v>
      </c>
      <c r="E68" s="31" t="s">
        <v>143</v>
      </c>
      <c r="F68" s="29" t="s">
        <v>144</v>
      </c>
      <c r="G68" s="20" t="b">
        <v>0</v>
      </c>
      <c r="H68" s="5" t="s">
        <v>12</v>
      </c>
      <c r="I68" s="5"/>
      <c r="J68" s="29" t="s">
        <v>197</v>
      </c>
      <c r="K68" s="129"/>
    </row>
    <row r="69" spans="1:11" ht="18" customHeight="1">
      <c r="A69" s="16" t="s">
        <v>114</v>
      </c>
      <c r="B69" s="11" t="s">
        <v>115</v>
      </c>
      <c r="C69" s="8" t="s">
        <v>141</v>
      </c>
      <c r="D69" s="9" t="s">
        <v>142</v>
      </c>
      <c r="E69" s="31" t="s">
        <v>143</v>
      </c>
      <c r="F69" s="29" t="s">
        <v>145</v>
      </c>
      <c r="G69" s="20" t="b">
        <v>0</v>
      </c>
      <c r="H69" s="5" t="s">
        <v>12</v>
      </c>
      <c r="I69" s="5"/>
      <c r="J69" s="29" t="s">
        <v>196</v>
      </c>
      <c r="K69" s="129"/>
    </row>
    <row r="70" spans="1:11" ht="18" customHeight="1">
      <c r="A70" s="16" t="s">
        <v>114</v>
      </c>
      <c r="B70" s="11" t="s">
        <v>115</v>
      </c>
      <c r="C70" s="8" t="s">
        <v>141</v>
      </c>
      <c r="D70" s="9" t="s">
        <v>142</v>
      </c>
      <c r="E70" s="31" t="s">
        <v>143</v>
      </c>
      <c r="F70" s="29" t="s">
        <v>14</v>
      </c>
      <c r="G70" s="21" t="s">
        <v>22</v>
      </c>
      <c r="H70" s="5" t="s">
        <v>12</v>
      </c>
      <c r="I70" s="5"/>
      <c r="J70" s="29" t="s">
        <v>198</v>
      </c>
      <c r="K70" s="130"/>
    </row>
    <row r="71" spans="1:11" ht="22.5">
      <c r="A71" s="16" t="s">
        <v>114</v>
      </c>
      <c r="B71" s="11" t="s">
        <v>115</v>
      </c>
      <c r="C71" s="8" t="s">
        <v>146</v>
      </c>
      <c r="D71" s="9" t="s">
        <v>147</v>
      </c>
      <c r="E71" s="29" t="s">
        <v>148</v>
      </c>
      <c r="F71" s="29" t="s">
        <v>14</v>
      </c>
      <c r="G71" s="22" t="s">
        <v>22</v>
      </c>
      <c r="H71" s="6" t="s">
        <v>12</v>
      </c>
      <c r="J71" s="29" t="s">
        <v>201</v>
      </c>
      <c r="K71" s="5" t="s">
        <v>305</v>
      </c>
    </row>
    <row r="72" spans="1:11" s="40" customFormat="1" ht="23.25" thickBot="1">
      <c r="A72" s="45" t="s">
        <v>114</v>
      </c>
      <c r="B72" s="46" t="s">
        <v>115</v>
      </c>
      <c r="C72" s="47" t="s">
        <v>149</v>
      </c>
      <c r="D72" s="48" t="s">
        <v>150</v>
      </c>
      <c r="E72" s="39" t="s">
        <v>151</v>
      </c>
      <c r="F72" s="39" t="s">
        <v>14</v>
      </c>
      <c r="G72" s="49" t="s">
        <v>22</v>
      </c>
      <c r="H72" s="40" t="s">
        <v>152</v>
      </c>
      <c r="J72" s="39" t="s">
        <v>202</v>
      </c>
      <c r="K72" s="36" t="s">
        <v>306</v>
      </c>
    </row>
    <row r="73" spans="1:11" s="53" customFormat="1" ht="18" customHeight="1" thickTop="1">
      <c r="A73" s="50" t="s">
        <v>153</v>
      </c>
      <c r="B73" s="51"/>
      <c r="C73" s="51"/>
      <c r="D73" s="52"/>
      <c r="E73" s="54" t="s">
        <v>154</v>
      </c>
      <c r="F73" s="54" t="s">
        <v>155</v>
      </c>
      <c r="G73" s="55" t="s">
        <v>46</v>
      </c>
      <c r="H73" s="53" t="s">
        <v>47</v>
      </c>
      <c r="J73" s="54" t="s">
        <v>203</v>
      </c>
      <c r="K73" s="56"/>
    </row>
    <row r="74" spans="1:11" ht="18" customHeight="1">
      <c r="A74" s="18" t="s">
        <v>153</v>
      </c>
      <c r="B74" s="19"/>
      <c r="C74" s="19"/>
      <c r="D74" s="23"/>
      <c r="E74" s="29" t="s">
        <v>156</v>
      </c>
      <c r="F74" s="29" t="s">
        <v>157</v>
      </c>
      <c r="G74" s="21" t="s">
        <v>46</v>
      </c>
      <c r="H74" s="6" t="s">
        <v>47</v>
      </c>
      <c r="J74" s="29" t="s">
        <v>204</v>
      </c>
    </row>
    <row r="75" spans="1:11" ht="18" customHeight="1">
      <c r="A75" s="18" t="s">
        <v>153</v>
      </c>
      <c r="B75" s="19"/>
      <c r="C75" s="19"/>
      <c r="D75" s="23"/>
      <c r="E75" s="29" t="s">
        <v>158</v>
      </c>
      <c r="F75" s="29" t="s">
        <v>159</v>
      </c>
      <c r="G75" s="21" t="s">
        <v>46</v>
      </c>
      <c r="H75" s="6" t="s">
        <v>47</v>
      </c>
      <c r="J75" s="29" t="s">
        <v>205</v>
      </c>
    </row>
    <row r="76" spans="1:11" ht="18" customHeight="1">
      <c r="A76" s="18" t="s">
        <v>153</v>
      </c>
      <c r="B76" s="19"/>
      <c r="C76" s="19"/>
      <c r="D76" s="23"/>
      <c r="E76" s="29" t="s">
        <v>160</v>
      </c>
      <c r="F76" s="29" t="s">
        <v>159</v>
      </c>
      <c r="G76" s="21" t="s">
        <v>46</v>
      </c>
      <c r="H76" s="6" t="s">
        <v>47</v>
      </c>
      <c r="J76" s="29" t="s">
        <v>206</v>
      </c>
    </row>
    <row r="77" spans="1:11" ht="18" customHeight="1">
      <c r="A77" s="18" t="s">
        <v>153</v>
      </c>
      <c r="B77" s="19"/>
      <c r="C77" s="19"/>
      <c r="D77" s="23"/>
      <c r="E77" s="31" t="s">
        <v>161</v>
      </c>
      <c r="F77" s="29" t="s">
        <v>162</v>
      </c>
      <c r="G77" s="20" t="b">
        <v>0</v>
      </c>
      <c r="H77" s="5" t="s">
        <v>12</v>
      </c>
      <c r="I77" s="44" t="s">
        <v>310</v>
      </c>
      <c r="J77" s="128" t="s">
        <v>207</v>
      </c>
    </row>
    <row r="78" spans="1:11" ht="18" customHeight="1">
      <c r="A78" s="18" t="s">
        <v>153</v>
      </c>
      <c r="B78" s="19"/>
      <c r="C78" s="19"/>
      <c r="D78" s="23"/>
      <c r="E78" s="31" t="s">
        <v>161</v>
      </c>
      <c r="F78" s="29" t="s">
        <v>163</v>
      </c>
      <c r="G78" s="20" t="b">
        <v>0</v>
      </c>
      <c r="H78" s="5" t="s">
        <v>12</v>
      </c>
      <c r="I78" s="44" t="s">
        <v>310</v>
      </c>
      <c r="J78" s="129"/>
    </row>
    <row r="79" spans="1:11" ht="18" customHeight="1">
      <c r="A79" s="18" t="s">
        <v>153</v>
      </c>
      <c r="B79" s="19"/>
      <c r="C79" s="19"/>
      <c r="D79" s="23"/>
      <c r="E79" s="31" t="s">
        <v>161</v>
      </c>
      <c r="F79" s="29" t="s">
        <v>164</v>
      </c>
      <c r="G79" s="20" t="b">
        <v>0</v>
      </c>
      <c r="H79" s="5" t="s">
        <v>12</v>
      </c>
      <c r="I79" s="44" t="s">
        <v>310</v>
      </c>
      <c r="J79" s="129"/>
    </row>
    <row r="80" spans="1:11" ht="18" customHeight="1">
      <c r="A80" s="18" t="s">
        <v>153</v>
      </c>
      <c r="B80" s="19"/>
      <c r="C80" s="19"/>
      <c r="D80" s="23"/>
      <c r="E80" s="31" t="s">
        <v>161</v>
      </c>
      <c r="F80" s="29" t="s">
        <v>14</v>
      </c>
      <c r="G80" s="21" t="s">
        <v>99</v>
      </c>
      <c r="H80" s="5" t="s">
        <v>12</v>
      </c>
      <c r="I80" s="44" t="s">
        <v>310</v>
      </c>
      <c r="J80" s="130"/>
    </row>
    <row r="81" spans="1:10" ht="18" customHeight="1">
      <c r="A81" s="18" t="s">
        <v>153</v>
      </c>
      <c r="B81" s="19"/>
      <c r="C81" s="19"/>
      <c r="D81" s="23"/>
      <c r="E81" s="31" t="s">
        <v>165</v>
      </c>
      <c r="F81" s="29" t="s">
        <v>166</v>
      </c>
      <c r="G81" s="20" t="b">
        <v>0</v>
      </c>
      <c r="H81" s="5" t="s">
        <v>12</v>
      </c>
      <c r="I81" s="36"/>
      <c r="J81" s="128" t="s">
        <v>208</v>
      </c>
    </row>
    <row r="82" spans="1:10" ht="18" customHeight="1">
      <c r="A82" s="18" t="s">
        <v>153</v>
      </c>
      <c r="B82" s="19"/>
      <c r="C82" s="19"/>
      <c r="D82" s="23"/>
      <c r="E82" s="31" t="s">
        <v>165</v>
      </c>
      <c r="F82" s="29" t="s">
        <v>167</v>
      </c>
      <c r="G82" s="21" t="s">
        <v>99</v>
      </c>
      <c r="H82" s="5" t="s">
        <v>12</v>
      </c>
      <c r="I82" s="37"/>
      <c r="J82" s="129"/>
    </row>
    <row r="83" spans="1:10" ht="18" customHeight="1">
      <c r="A83" s="18" t="s">
        <v>153</v>
      </c>
      <c r="B83" s="19"/>
      <c r="C83" s="19"/>
      <c r="D83" s="23"/>
      <c r="E83" s="31" t="s">
        <v>168</v>
      </c>
      <c r="F83" s="29" t="s">
        <v>166</v>
      </c>
      <c r="G83" s="20" t="b">
        <v>0</v>
      </c>
      <c r="H83" s="5" t="s">
        <v>12</v>
      </c>
      <c r="I83" s="37"/>
      <c r="J83" s="129"/>
    </row>
    <row r="84" spans="1:10" ht="18" customHeight="1">
      <c r="A84" s="18" t="s">
        <v>153</v>
      </c>
      <c r="B84" s="19"/>
      <c r="C84" s="19"/>
      <c r="D84" s="23"/>
      <c r="E84" s="31" t="s">
        <v>168</v>
      </c>
      <c r="F84" s="29" t="s">
        <v>167</v>
      </c>
      <c r="G84" s="21" t="s">
        <v>99</v>
      </c>
      <c r="H84" s="5" t="s">
        <v>12</v>
      </c>
      <c r="I84" s="38"/>
      <c r="J84" s="130"/>
    </row>
    <row r="85" spans="1:10" ht="18" customHeight="1">
      <c r="A85" s="18" t="s">
        <v>153</v>
      </c>
      <c r="B85" s="19"/>
      <c r="C85" s="19"/>
      <c r="D85" s="23"/>
      <c r="E85" s="31" t="s">
        <v>169</v>
      </c>
      <c r="F85" s="29" t="s">
        <v>162</v>
      </c>
      <c r="G85" s="20" t="b">
        <v>0</v>
      </c>
      <c r="H85" s="5" t="s">
        <v>12</v>
      </c>
      <c r="I85" s="36"/>
      <c r="J85" s="133" t="s">
        <v>284</v>
      </c>
    </row>
    <row r="86" spans="1:10" ht="18" customHeight="1">
      <c r="A86" s="18" t="s">
        <v>153</v>
      </c>
      <c r="B86" s="19"/>
      <c r="C86" s="19"/>
      <c r="D86" s="23"/>
      <c r="E86" s="31" t="s">
        <v>169</v>
      </c>
      <c r="F86" s="29" t="s">
        <v>163</v>
      </c>
      <c r="G86" s="20" t="b">
        <v>0</v>
      </c>
      <c r="H86" s="5" t="s">
        <v>12</v>
      </c>
      <c r="I86" s="37"/>
      <c r="J86" s="134"/>
    </row>
    <row r="87" spans="1:10" ht="18" customHeight="1">
      <c r="A87" s="18" t="s">
        <v>153</v>
      </c>
      <c r="B87" s="19"/>
      <c r="C87" s="19"/>
      <c r="D87" s="23"/>
      <c r="E87" s="31" t="s">
        <v>169</v>
      </c>
      <c r="F87" s="29" t="s">
        <v>164</v>
      </c>
      <c r="G87" s="20" t="b">
        <v>0</v>
      </c>
      <c r="H87" s="5" t="s">
        <v>12</v>
      </c>
      <c r="I87" s="37"/>
      <c r="J87" s="134"/>
    </row>
    <row r="88" spans="1:10" ht="18" customHeight="1">
      <c r="A88" s="18" t="s">
        <v>153</v>
      </c>
      <c r="B88" s="19"/>
      <c r="C88" s="19"/>
      <c r="D88" s="23"/>
      <c r="E88" s="31" t="s">
        <v>169</v>
      </c>
      <c r="F88" s="29" t="s">
        <v>14</v>
      </c>
      <c r="G88" s="21" t="s">
        <v>99</v>
      </c>
      <c r="H88" s="5" t="s">
        <v>12</v>
      </c>
      <c r="I88" s="38"/>
      <c r="J88" s="135"/>
    </row>
  </sheetData>
  <autoFilter ref="A1:H51" xr:uid="{5509A269-A406-4BE1-931B-51E45DE79C33}">
    <sortState xmlns:xlrd2="http://schemas.microsoft.com/office/spreadsheetml/2017/richdata2" ref="A2:H51">
      <sortCondition ref="A1:A51"/>
    </sortState>
  </autoFilter>
  <mergeCells count="16">
    <mergeCell ref="K67:K70"/>
    <mergeCell ref="J81:J84"/>
    <mergeCell ref="K5:K6"/>
    <mergeCell ref="J85:J88"/>
    <mergeCell ref="K7:K9"/>
    <mergeCell ref="K10:K11"/>
    <mergeCell ref="K32:K41"/>
    <mergeCell ref="K42:K46"/>
    <mergeCell ref="K47:K50"/>
    <mergeCell ref="K53:K54"/>
    <mergeCell ref="J4:J6"/>
    <mergeCell ref="J7:J9"/>
    <mergeCell ref="J13:J14"/>
    <mergeCell ref="J16:J18"/>
    <mergeCell ref="J62:J66"/>
    <mergeCell ref="J77:J80"/>
  </mergeCells>
  <phoneticPr fontId="21" type="noConversion"/>
  <conditionalFormatting sqref="J1:J1048576">
    <cfRule type="containsText" dxfId="1" priority="3" operator="containsText" text="Accepted">
      <formula>NOT(ISERROR(SEARCH("Accepted",J1)))</formula>
    </cfRule>
  </conditionalFormatting>
  <conditionalFormatting sqref="K25:K31">
    <cfRule type="containsText" dxfId="0" priority="1" operator="containsText" text="Accepted">
      <formula>NOT(ISERROR(SEARCH("Accepted",K25)))</formula>
    </cfRule>
  </conditionalFormatting>
  <hyperlinks>
    <hyperlink ref="J70" r:id="rId1" display="https://www.cud.ac.ae/cud-esg/cud-student-council" xr:uid="{C5EE6AFC-E199-433D-8CDC-5FC665E1C853}"/>
    <hyperlink ref="K12" r:id="rId2" xr:uid="{BF1CAB40-1318-4FBE-9BCA-80F030525BE8}"/>
  </hyperlinks>
  <printOptions horizontalCentered="1"/>
  <pageMargins left="0" right="0" top="0.74803149606299213" bottom="0" header="0.31496062992125984" footer="0"/>
  <pageSetup paperSize="9" scale="70"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DA10F-50F3-4E6D-B9A1-092A35117E35}">
  <dimension ref="B1:F19"/>
  <sheetViews>
    <sheetView tabSelected="1" zoomScale="115" zoomScaleNormal="115" workbookViewId="0">
      <selection activeCell="C2" sqref="C2"/>
    </sheetView>
  </sheetViews>
  <sheetFormatPr defaultRowHeight="15"/>
  <cols>
    <col min="1" max="1" width="4.140625" customWidth="1"/>
    <col min="2" max="2" width="16.140625" bestFit="1" customWidth="1"/>
    <col min="3" max="3" width="25.85546875" bestFit="1" customWidth="1"/>
    <col min="4" max="4" width="68.140625" style="106" bestFit="1" customWidth="1"/>
    <col min="5" max="5" width="106.7109375" style="106" customWidth="1"/>
    <col min="6" max="6" width="114.42578125" customWidth="1"/>
  </cols>
  <sheetData>
    <row r="1" spans="2:6" s="127" customFormat="1" ht="23.25">
      <c r="B1" s="123" t="s">
        <v>333</v>
      </c>
      <c r="C1" s="124" t="s">
        <v>334</v>
      </c>
      <c r="D1" s="125" t="s">
        <v>335</v>
      </c>
      <c r="E1" s="125" t="s">
        <v>336</v>
      </c>
      <c r="F1" s="126" t="s">
        <v>391</v>
      </c>
    </row>
    <row r="2" spans="2:6" ht="90">
      <c r="B2" s="144" t="s">
        <v>337</v>
      </c>
      <c r="C2" s="107" t="s">
        <v>338</v>
      </c>
      <c r="D2" s="108" t="s">
        <v>339</v>
      </c>
      <c r="E2" s="108" t="s">
        <v>340</v>
      </c>
      <c r="F2" s="109" t="s">
        <v>396</v>
      </c>
    </row>
    <row r="3" spans="2:6" ht="60">
      <c r="B3" s="144"/>
      <c r="C3" s="107" t="s">
        <v>114</v>
      </c>
      <c r="D3" s="108" t="s">
        <v>341</v>
      </c>
      <c r="E3" s="108" t="s">
        <v>342</v>
      </c>
      <c r="F3" s="109" t="s">
        <v>401</v>
      </c>
    </row>
    <row r="4" spans="2:6" ht="45">
      <c r="B4" s="144"/>
      <c r="C4" s="107" t="s">
        <v>343</v>
      </c>
      <c r="D4" s="108" t="s">
        <v>344</v>
      </c>
      <c r="E4" s="108" t="s">
        <v>345</v>
      </c>
      <c r="F4" s="109" t="s">
        <v>395</v>
      </c>
    </row>
    <row r="5" spans="2:6" ht="150">
      <c r="B5" s="144"/>
      <c r="C5" s="107" t="s">
        <v>346</v>
      </c>
      <c r="D5" s="108" t="s">
        <v>347</v>
      </c>
      <c r="E5" s="108" t="s">
        <v>348</v>
      </c>
      <c r="F5" s="110" t="s">
        <v>393</v>
      </c>
    </row>
    <row r="6" spans="2:6" ht="45.75" thickBot="1">
      <c r="B6" s="145"/>
      <c r="C6" s="116" t="s">
        <v>349</v>
      </c>
      <c r="D6" s="117" t="s">
        <v>350</v>
      </c>
      <c r="E6" s="117" t="s">
        <v>351</v>
      </c>
      <c r="F6" s="118" t="s">
        <v>403</v>
      </c>
    </row>
    <row r="7" spans="2:6" ht="45">
      <c r="B7" s="146" t="s">
        <v>352</v>
      </c>
      <c r="C7" s="120" t="s">
        <v>353</v>
      </c>
      <c r="D7" s="121" t="s">
        <v>354</v>
      </c>
      <c r="E7" s="121" t="s">
        <v>409</v>
      </c>
      <c r="F7" s="122" t="s">
        <v>407</v>
      </c>
    </row>
    <row r="8" spans="2:6" ht="75">
      <c r="B8" s="140"/>
      <c r="C8" s="107" t="s">
        <v>355</v>
      </c>
      <c r="D8" s="108" t="s">
        <v>356</v>
      </c>
      <c r="E8" s="108" t="s">
        <v>357</v>
      </c>
      <c r="F8" s="109" t="s">
        <v>397</v>
      </c>
    </row>
    <row r="9" spans="2:6" ht="75.75" thickBot="1">
      <c r="B9" s="147"/>
      <c r="C9" s="116" t="s">
        <v>358</v>
      </c>
      <c r="D9" s="117" t="s">
        <v>359</v>
      </c>
      <c r="E9" s="117" t="s">
        <v>408</v>
      </c>
      <c r="F9" s="118" t="s">
        <v>394</v>
      </c>
    </row>
    <row r="10" spans="2:6" ht="60">
      <c r="B10" s="146" t="s">
        <v>360</v>
      </c>
      <c r="C10" s="120" t="s">
        <v>338</v>
      </c>
      <c r="D10" s="121" t="s">
        <v>361</v>
      </c>
      <c r="E10" s="121" t="s">
        <v>362</v>
      </c>
      <c r="F10" s="122" t="s">
        <v>398</v>
      </c>
    </row>
    <row r="11" spans="2:6" ht="45" customHeight="1">
      <c r="B11" s="140"/>
      <c r="C11" s="107" t="s">
        <v>363</v>
      </c>
      <c r="D11" s="108" t="s">
        <v>364</v>
      </c>
      <c r="E11" s="108" t="s">
        <v>365</v>
      </c>
      <c r="F11" s="142" t="s">
        <v>399</v>
      </c>
    </row>
    <row r="12" spans="2:6" ht="60">
      <c r="B12" s="140"/>
      <c r="C12" s="107" t="s">
        <v>366</v>
      </c>
      <c r="D12" s="108" t="s">
        <v>367</v>
      </c>
      <c r="E12" s="108" t="s">
        <v>368</v>
      </c>
      <c r="F12" s="142"/>
    </row>
    <row r="13" spans="2:6" ht="60.75" thickBot="1">
      <c r="B13" s="147"/>
      <c r="C13" s="116" t="s">
        <v>369</v>
      </c>
      <c r="D13" s="117" t="s">
        <v>370</v>
      </c>
      <c r="E13" s="117" t="s">
        <v>368</v>
      </c>
      <c r="F13" s="143"/>
    </row>
    <row r="14" spans="2:6" ht="45">
      <c r="B14" s="146" t="s">
        <v>371</v>
      </c>
      <c r="C14" s="120" t="s">
        <v>372</v>
      </c>
      <c r="D14" s="121" t="s">
        <v>373</v>
      </c>
      <c r="E14" s="121" t="s">
        <v>374</v>
      </c>
      <c r="F14" s="122" t="s">
        <v>400</v>
      </c>
    </row>
    <row r="15" spans="2:6" ht="45.75" thickBot="1">
      <c r="B15" s="147"/>
      <c r="C15" s="116" t="s">
        <v>375</v>
      </c>
      <c r="D15" s="117" t="s">
        <v>376</v>
      </c>
      <c r="E15" s="117" t="s">
        <v>377</v>
      </c>
      <c r="F15" s="118" t="s">
        <v>392</v>
      </c>
    </row>
    <row r="16" spans="2:6" ht="30">
      <c r="B16" s="139" t="s">
        <v>378</v>
      </c>
      <c r="C16" s="114" t="s">
        <v>379</v>
      </c>
      <c r="D16" s="115" t="s">
        <v>380</v>
      </c>
      <c r="E16" s="115" t="s">
        <v>381</v>
      </c>
      <c r="F16" s="119" t="s">
        <v>402</v>
      </c>
    </row>
    <row r="17" spans="2:6" ht="90">
      <c r="B17" s="140"/>
      <c r="C17" s="107" t="s">
        <v>382</v>
      </c>
      <c r="D17" s="108" t="s">
        <v>383</v>
      </c>
      <c r="E17" s="108" t="s">
        <v>384</v>
      </c>
      <c r="F17" s="109" t="s">
        <v>404</v>
      </c>
    </row>
    <row r="18" spans="2:6" ht="60">
      <c r="B18" s="140"/>
      <c r="C18" s="107" t="s">
        <v>385</v>
      </c>
      <c r="D18" s="108" t="s">
        <v>386</v>
      </c>
      <c r="E18" s="108" t="s">
        <v>387</v>
      </c>
      <c r="F18" s="109" t="s">
        <v>405</v>
      </c>
    </row>
    <row r="19" spans="2:6" ht="30">
      <c r="B19" s="141"/>
      <c r="C19" s="111" t="s">
        <v>388</v>
      </c>
      <c r="D19" s="112" t="s">
        <v>389</v>
      </c>
      <c r="E19" s="112" t="s">
        <v>390</v>
      </c>
      <c r="F19" s="113" t="s">
        <v>406</v>
      </c>
    </row>
  </sheetData>
  <mergeCells count="6">
    <mergeCell ref="B16:B19"/>
    <mergeCell ref="F11:F13"/>
    <mergeCell ref="B2:B6"/>
    <mergeCell ref="B7:B9"/>
    <mergeCell ref="B10:B13"/>
    <mergeCell ref="B14:B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65155-FB01-4A91-A22E-5C03B7041DBC}">
  <dimension ref="A1:C12"/>
  <sheetViews>
    <sheetView zoomScale="145" zoomScaleNormal="145" workbookViewId="0">
      <selection activeCell="A4" sqref="A4:XFD4"/>
    </sheetView>
  </sheetViews>
  <sheetFormatPr defaultRowHeight="15"/>
  <cols>
    <col min="1" max="1" width="33.28515625" style="74" customWidth="1"/>
    <col min="2" max="2" width="44" style="74" customWidth="1"/>
    <col min="3" max="16384" width="9.140625" style="74"/>
  </cols>
  <sheetData>
    <row r="1" spans="1:3" ht="24" thickBot="1">
      <c r="A1" s="72" t="s">
        <v>212</v>
      </c>
      <c r="B1" s="73" t="s">
        <v>315</v>
      </c>
    </row>
    <row r="2" spans="1:3" ht="24" thickBot="1">
      <c r="A2" s="75">
        <v>0.17</v>
      </c>
      <c r="B2" s="76">
        <v>65.400000000000006</v>
      </c>
      <c r="C2" s="74">
        <f>A2*B2</f>
        <v>11.118000000000002</v>
      </c>
    </row>
    <row r="3" spans="1:3" ht="24" thickBot="1">
      <c r="A3" s="75">
        <v>0.13</v>
      </c>
      <c r="B3" s="76">
        <v>14.2</v>
      </c>
      <c r="C3" s="74">
        <f t="shared" ref="C3:C10" si="0">A3*B3</f>
        <v>1.8459999999999999</v>
      </c>
    </row>
    <row r="4" spans="1:3" ht="24" thickBot="1">
      <c r="A4" s="75">
        <v>0.15</v>
      </c>
      <c r="B4" s="76">
        <v>42.1</v>
      </c>
      <c r="C4" s="74">
        <f t="shared" si="0"/>
        <v>6.3150000000000004</v>
      </c>
    </row>
    <row r="5" spans="1:3" ht="24" thickBot="1">
      <c r="A5" s="75">
        <v>0.11</v>
      </c>
      <c r="B5" s="76">
        <v>59.1</v>
      </c>
      <c r="C5" s="74">
        <f t="shared" si="0"/>
        <v>6.5010000000000003</v>
      </c>
    </row>
    <row r="6" spans="1:3" ht="24" thickBot="1">
      <c r="A6" s="75">
        <v>0.12</v>
      </c>
      <c r="B6" s="76">
        <v>50.6</v>
      </c>
      <c r="C6" s="74">
        <f t="shared" si="0"/>
        <v>6.0720000000000001</v>
      </c>
    </row>
    <row r="7" spans="1:3" ht="24" thickBot="1">
      <c r="A7" s="75">
        <v>0.05</v>
      </c>
      <c r="B7" s="76">
        <v>35.5</v>
      </c>
      <c r="C7" s="74">
        <f t="shared" si="0"/>
        <v>1.7750000000000001</v>
      </c>
    </row>
    <row r="8" spans="1:3" ht="24" thickBot="1">
      <c r="A8" s="75">
        <v>7.0000000000000007E-2</v>
      </c>
      <c r="B8" s="76">
        <v>39</v>
      </c>
      <c r="C8" s="74">
        <f t="shared" si="0"/>
        <v>2.7300000000000004</v>
      </c>
    </row>
    <row r="9" spans="1:3" ht="24" thickBot="1">
      <c r="A9" s="75">
        <v>0.1</v>
      </c>
      <c r="B9" s="76">
        <v>42</v>
      </c>
      <c r="C9" s="74">
        <f t="shared" si="0"/>
        <v>4.2</v>
      </c>
    </row>
    <row r="10" spans="1:3" ht="24" thickBot="1">
      <c r="A10" s="75">
        <v>0.1</v>
      </c>
      <c r="B10" s="76">
        <v>51.9</v>
      </c>
      <c r="C10" s="74">
        <f t="shared" si="0"/>
        <v>5.19</v>
      </c>
    </row>
    <row r="12" spans="1:3">
      <c r="C12" s="77">
        <f>SUM(C2:C11)</f>
        <v>45.747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AEA7E-DF98-49B4-902F-5F8B6E9F7B79}">
  <dimension ref="A1:H60"/>
  <sheetViews>
    <sheetView topLeftCell="A46" zoomScale="205" zoomScaleNormal="205" workbookViewId="0">
      <selection activeCell="A49" sqref="A49:D59"/>
    </sheetView>
  </sheetViews>
  <sheetFormatPr defaultRowHeight="15"/>
  <cols>
    <col min="1" max="1" width="4.85546875" bestFit="1" customWidth="1"/>
    <col min="2" max="2" width="21.28515625" customWidth="1"/>
    <col min="3" max="3" width="5.85546875" bestFit="1" customWidth="1"/>
    <col min="4" max="4" width="38.7109375" style="83" customWidth="1"/>
    <col min="5" max="5" width="2.7109375" bestFit="1" customWidth="1"/>
    <col min="7" max="7" width="5.85546875" bestFit="1" customWidth="1"/>
    <col min="8" max="8" width="8.7109375" bestFit="1" customWidth="1"/>
    <col min="12" max="12" width="15.5703125" customWidth="1"/>
    <col min="13" max="13" width="27.42578125" customWidth="1"/>
    <col min="14" max="14" width="26.5703125" bestFit="1" customWidth="1"/>
  </cols>
  <sheetData>
    <row r="1" spans="1:8">
      <c r="A1" s="89" t="s">
        <v>317</v>
      </c>
      <c r="B1" s="89" t="s">
        <v>2</v>
      </c>
      <c r="C1" s="89" t="s">
        <v>212</v>
      </c>
      <c r="D1" s="93" t="s">
        <v>270</v>
      </c>
      <c r="E1" s="91" t="s">
        <v>317</v>
      </c>
      <c r="F1" s="89" t="s">
        <v>2</v>
      </c>
      <c r="G1" s="89" t="s">
        <v>212</v>
      </c>
      <c r="H1" s="90" t="s">
        <v>270</v>
      </c>
    </row>
    <row r="2" spans="1:8" ht="22.5">
      <c r="A2" s="85">
        <v>1</v>
      </c>
      <c r="B2" s="86" t="s">
        <v>213</v>
      </c>
      <c r="C2" s="87">
        <v>0.05</v>
      </c>
      <c r="D2" s="94" t="s">
        <v>319</v>
      </c>
      <c r="E2" s="92">
        <v>6</v>
      </c>
      <c r="F2" s="96" t="s">
        <v>37</v>
      </c>
      <c r="G2" s="87">
        <v>0.01</v>
      </c>
      <c r="H2" s="88" t="s">
        <v>318</v>
      </c>
    </row>
    <row r="3" spans="1:8" ht="22.5">
      <c r="A3" s="85">
        <v>3</v>
      </c>
      <c r="B3" s="86" t="s">
        <v>215</v>
      </c>
      <c r="C3" s="87">
        <v>0.02</v>
      </c>
      <c r="D3" s="95" t="s">
        <v>320</v>
      </c>
      <c r="E3" s="92">
        <v>7</v>
      </c>
      <c r="F3" s="86" t="s">
        <v>41</v>
      </c>
      <c r="G3" s="87">
        <v>0.01</v>
      </c>
      <c r="H3" s="88" t="s">
        <v>318</v>
      </c>
    </row>
    <row r="4" spans="1:8" ht="45">
      <c r="A4" s="85">
        <v>2</v>
      </c>
      <c r="B4" s="96" t="s">
        <v>214</v>
      </c>
      <c r="C4" s="87">
        <v>0.01</v>
      </c>
      <c r="D4" s="94" t="s">
        <v>275</v>
      </c>
      <c r="E4" s="92">
        <v>8</v>
      </c>
      <c r="F4" s="96" t="s">
        <v>51</v>
      </c>
      <c r="G4" s="87">
        <v>0.01</v>
      </c>
      <c r="H4" s="88" t="s">
        <v>318</v>
      </c>
    </row>
    <row r="5" spans="1:8" ht="33.75">
      <c r="A5" s="85">
        <v>4</v>
      </c>
      <c r="B5" s="96" t="s">
        <v>216</v>
      </c>
      <c r="C5" s="87">
        <v>0.01</v>
      </c>
      <c r="D5" s="94" t="s">
        <v>318</v>
      </c>
      <c r="E5" s="92">
        <v>9</v>
      </c>
      <c r="F5" s="96" t="s">
        <v>55</v>
      </c>
      <c r="G5" s="87">
        <v>0.01</v>
      </c>
      <c r="H5" s="88" t="s">
        <v>318</v>
      </c>
    </row>
    <row r="6" spans="1:8" ht="33.75">
      <c r="A6" s="85">
        <v>5</v>
      </c>
      <c r="B6" s="86" t="s">
        <v>34</v>
      </c>
      <c r="C6" s="87">
        <v>0.01</v>
      </c>
      <c r="D6" s="94" t="s">
        <v>318</v>
      </c>
      <c r="E6" s="92">
        <v>10</v>
      </c>
      <c r="F6" s="86" t="s">
        <v>62</v>
      </c>
      <c r="G6" s="87">
        <v>0.01</v>
      </c>
      <c r="H6" s="88" t="s">
        <v>318</v>
      </c>
    </row>
    <row r="12" spans="1:8">
      <c r="A12" s="79"/>
      <c r="B12" s="80" t="s">
        <v>316</v>
      </c>
      <c r="C12" s="81">
        <f>SUM(C2:C11)</f>
        <v>9.9999999999999992E-2</v>
      </c>
      <c r="D12" s="82"/>
    </row>
    <row r="14" spans="1:8">
      <c r="A14" s="101" t="s">
        <v>323</v>
      </c>
      <c r="B14" s="101" t="s">
        <v>2</v>
      </c>
      <c r="C14" s="101" t="s">
        <v>212</v>
      </c>
      <c r="D14" s="102" t="s">
        <v>270</v>
      </c>
    </row>
    <row r="15" spans="1:8" ht="21.75" customHeight="1">
      <c r="A15" s="97" t="s">
        <v>217</v>
      </c>
      <c r="B15" s="97" t="s">
        <v>218</v>
      </c>
      <c r="C15" s="84">
        <v>0.03</v>
      </c>
      <c r="D15" s="103" t="s">
        <v>276</v>
      </c>
    </row>
    <row r="16" spans="1:8" ht="33.75">
      <c r="A16" s="97" t="s">
        <v>220</v>
      </c>
      <c r="B16" s="97" t="s">
        <v>221</v>
      </c>
      <c r="C16" s="84">
        <v>0.04</v>
      </c>
      <c r="D16" s="104" t="s">
        <v>321</v>
      </c>
    </row>
    <row r="17" spans="1:7" ht="33.75">
      <c r="A17" s="97" t="s">
        <v>222</v>
      </c>
      <c r="B17" s="97" t="s">
        <v>223</v>
      </c>
      <c r="C17" s="84">
        <v>0.01</v>
      </c>
      <c r="D17" s="103" t="s">
        <v>277</v>
      </c>
    </row>
    <row r="18" spans="1:7">
      <c r="A18" s="97" t="s">
        <v>224</v>
      </c>
      <c r="B18" s="97" t="s">
        <v>225</v>
      </c>
      <c r="C18" s="84">
        <v>0.02</v>
      </c>
      <c r="D18" s="103" t="s">
        <v>278</v>
      </c>
    </row>
    <row r="19" spans="1:7">
      <c r="A19" s="97" t="s">
        <v>226</v>
      </c>
      <c r="B19" s="97" t="s">
        <v>227</v>
      </c>
      <c r="C19" s="84">
        <v>0.01</v>
      </c>
      <c r="D19" s="103" t="s">
        <v>276</v>
      </c>
    </row>
    <row r="20" spans="1:7">
      <c r="C20" s="78">
        <f>SUM(C15:C19)</f>
        <v>0.11</v>
      </c>
    </row>
    <row r="22" spans="1:7">
      <c r="A22" s="101" t="s">
        <v>322</v>
      </c>
      <c r="B22" s="101" t="s">
        <v>2</v>
      </c>
      <c r="C22" s="101" t="s">
        <v>212</v>
      </c>
      <c r="D22" s="102" t="s">
        <v>270</v>
      </c>
    </row>
    <row r="23" spans="1:7" ht="22.5">
      <c r="A23" s="97" t="s">
        <v>228</v>
      </c>
      <c r="B23" s="98" t="s">
        <v>229</v>
      </c>
      <c r="C23" s="99">
        <v>0.04</v>
      </c>
      <c r="D23" s="100" t="s">
        <v>324</v>
      </c>
    </row>
    <row r="24" spans="1:7" ht="22.5">
      <c r="A24" s="97" t="s">
        <v>234</v>
      </c>
      <c r="B24" s="98" t="s">
        <v>235</v>
      </c>
      <c r="C24" s="99">
        <v>0.02</v>
      </c>
      <c r="D24" s="100" t="s">
        <v>271</v>
      </c>
    </row>
    <row r="25" spans="1:7">
      <c r="A25" s="97" t="s">
        <v>237</v>
      </c>
      <c r="B25" s="98" t="s">
        <v>238</v>
      </c>
      <c r="C25" s="99">
        <v>0.01</v>
      </c>
      <c r="D25" s="100" t="s">
        <v>279</v>
      </c>
    </row>
    <row r="26" spans="1:7">
      <c r="A26" s="97" t="s">
        <v>230</v>
      </c>
      <c r="B26" s="98" t="s">
        <v>67</v>
      </c>
      <c r="C26" s="99">
        <v>0.01</v>
      </c>
      <c r="D26" s="100" t="s">
        <v>273</v>
      </c>
    </row>
    <row r="27" spans="1:7">
      <c r="A27" s="97" t="s">
        <v>231</v>
      </c>
      <c r="B27" s="98" t="s">
        <v>73</v>
      </c>
      <c r="C27" s="99">
        <v>0.01</v>
      </c>
      <c r="D27" s="100" t="s">
        <v>273</v>
      </c>
    </row>
    <row r="28" spans="1:7">
      <c r="A28" s="97" t="s">
        <v>232</v>
      </c>
      <c r="B28" s="98" t="s">
        <v>78</v>
      </c>
      <c r="C28" s="99">
        <v>0.01</v>
      </c>
      <c r="D28" s="100" t="s">
        <v>273</v>
      </c>
      <c r="G28" t="s">
        <v>326</v>
      </c>
    </row>
    <row r="29" spans="1:7" ht="22.5">
      <c r="A29" s="97" t="s">
        <v>233</v>
      </c>
      <c r="B29" s="98" t="s">
        <v>82</v>
      </c>
      <c r="C29" s="99">
        <v>0.01</v>
      </c>
      <c r="D29" s="100" t="s">
        <v>273</v>
      </c>
      <c r="G29" t="s">
        <v>325</v>
      </c>
    </row>
    <row r="30" spans="1:7">
      <c r="A30" s="97" t="s">
        <v>236</v>
      </c>
      <c r="B30" s="98" t="s">
        <v>94</v>
      </c>
      <c r="C30" s="99">
        <v>0.01</v>
      </c>
      <c r="D30" s="100" t="s">
        <v>273</v>
      </c>
    </row>
    <row r="31" spans="1:7">
      <c r="C31" s="78">
        <f>SUM(C23:C30)</f>
        <v>0.11999999999999997</v>
      </c>
      <c r="D31" s="83">
        <f>5/11</f>
        <v>0.45454545454545453</v>
      </c>
    </row>
    <row r="32" spans="1:7">
      <c r="C32" s="78"/>
    </row>
    <row r="33" spans="1:4">
      <c r="A33" s="101" t="s">
        <v>327</v>
      </c>
      <c r="B33" s="101" t="s">
        <v>2</v>
      </c>
      <c r="C33" s="101" t="s">
        <v>212</v>
      </c>
      <c r="D33" s="102" t="s">
        <v>270</v>
      </c>
    </row>
    <row r="34" spans="1:4" ht="22.5">
      <c r="A34" s="98" t="s">
        <v>239</v>
      </c>
      <c r="B34" s="98" t="s">
        <v>240</v>
      </c>
      <c r="C34" s="105">
        <v>0.03</v>
      </c>
      <c r="D34" s="98" t="s">
        <v>328</v>
      </c>
    </row>
    <row r="35" spans="1:4" ht="22.5">
      <c r="A35" s="98" t="s">
        <v>242</v>
      </c>
      <c r="B35" s="98" t="s">
        <v>243</v>
      </c>
      <c r="C35" s="105">
        <v>0.01</v>
      </c>
      <c r="D35" s="98" t="s">
        <v>271</v>
      </c>
    </row>
    <row r="36" spans="1:4" ht="22.5">
      <c r="A36" s="98" t="s">
        <v>244</v>
      </c>
      <c r="B36" s="98" t="s">
        <v>245</v>
      </c>
      <c r="C36" s="105">
        <v>0.01</v>
      </c>
      <c r="D36" s="98" t="s">
        <v>272</v>
      </c>
    </row>
    <row r="37" spans="1:4">
      <c r="A37" s="98" t="s">
        <v>246</v>
      </c>
      <c r="B37" s="98" t="s">
        <v>247</v>
      </c>
      <c r="C37" s="105">
        <v>0.01</v>
      </c>
      <c r="D37" s="98" t="s">
        <v>280</v>
      </c>
    </row>
    <row r="38" spans="1:4" ht="22.5">
      <c r="A38" s="98" t="s">
        <v>248</v>
      </c>
      <c r="B38" s="98" t="s">
        <v>249</v>
      </c>
      <c r="C38" s="105">
        <v>0.01</v>
      </c>
      <c r="D38" s="98" t="s">
        <v>281</v>
      </c>
    </row>
    <row r="39" spans="1:4">
      <c r="C39" s="78">
        <f>SUM(C34:C38)</f>
        <v>7.0000000000000007E-2</v>
      </c>
    </row>
    <row r="40" spans="1:4">
      <c r="C40" s="78"/>
    </row>
    <row r="41" spans="1:4">
      <c r="A41" s="101" t="s">
        <v>329</v>
      </c>
      <c r="B41" s="101" t="s">
        <v>2</v>
      </c>
      <c r="C41" s="101" t="s">
        <v>212</v>
      </c>
      <c r="D41" s="102" t="s">
        <v>270</v>
      </c>
    </row>
    <row r="42" spans="1:4" ht="22.5">
      <c r="A42" s="98" t="s">
        <v>250</v>
      </c>
      <c r="B42" s="98" t="s">
        <v>251</v>
      </c>
      <c r="C42" s="105">
        <v>0.06</v>
      </c>
      <c r="D42" s="98" t="s">
        <v>282</v>
      </c>
    </row>
    <row r="43" spans="1:4">
      <c r="A43" s="98" t="s">
        <v>253</v>
      </c>
      <c r="B43" s="98" t="s">
        <v>254</v>
      </c>
      <c r="C43" s="105">
        <v>0.02</v>
      </c>
      <c r="D43" s="98" t="s">
        <v>271</v>
      </c>
    </row>
    <row r="44" spans="1:4">
      <c r="A44" s="98" t="s">
        <v>255</v>
      </c>
      <c r="B44" s="98" t="s">
        <v>256</v>
      </c>
      <c r="C44" s="105">
        <v>0.01</v>
      </c>
      <c r="D44" s="98" t="s">
        <v>274</v>
      </c>
    </row>
    <row r="45" spans="1:4" ht="22.5">
      <c r="A45" s="98" t="s">
        <v>252</v>
      </c>
      <c r="B45" s="98" t="s">
        <v>111</v>
      </c>
      <c r="C45" s="105">
        <v>0.01</v>
      </c>
      <c r="D45" s="98" t="s">
        <v>273</v>
      </c>
    </row>
    <row r="46" spans="1:4">
      <c r="C46" s="78">
        <f>SUM(C42:C44)</f>
        <v>0.09</v>
      </c>
    </row>
    <row r="47" spans="1:4">
      <c r="C47" s="78"/>
    </row>
    <row r="48" spans="1:4">
      <c r="C48" s="78"/>
    </row>
    <row r="49" spans="1:4">
      <c r="A49" s="101" t="s">
        <v>329</v>
      </c>
      <c r="B49" s="101" t="s">
        <v>2</v>
      </c>
      <c r="C49" s="101" t="s">
        <v>212</v>
      </c>
      <c r="D49" s="102" t="s">
        <v>270</v>
      </c>
    </row>
    <row r="50" spans="1:4">
      <c r="A50" s="98" t="s">
        <v>258</v>
      </c>
      <c r="B50" s="98" t="s">
        <v>330</v>
      </c>
      <c r="C50" s="105">
        <v>0.01</v>
      </c>
      <c r="D50" s="98" t="s">
        <v>274</v>
      </c>
    </row>
    <row r="51" spans="1:4" ht="22.5">
      <c r="A51" s="98" t="s">
        <v>265</v>
      </c>
      <c r="B51" s="98" t="s">
        <v>266</v>
      </c>
      <c r="C51" s="105">
        <v>0.01</v>
      </c>
      <c r="D51" s="98" t="s">
        <v>283</v>
      </c>
    </row>
    <row r="52" spans="1:4">
      <c r="A52" s="98" t="s">
        <v>267</v>
      </c>
      <c r="B52" s="98" t="s">
        <v>254</v>
      </c>
      <c r="C52" s="105">
        <v>0.01</v>
      </c>
      <c r="D52" s="98" t="s">
        <v>271</v>
      </c>
    </row>
    <row r="53" spans="1:4" ht="22.5">
      <c r="A53" s="98" t="s">
        <v>268</v>
      </c>
      <c r="B53" s="98" t="s">
        <v>269</v>
      </c>
      <c r="C53" s="105">
        <v>0.01</v>
      </c>
      <c r="D53" s="98" t="s">
        <v>331</v>
      </c>
    </row>
    <row r="54" spans="1:4">
      <c r="A54" s="98" t="s">
        <v>257</v>
      </c>
      <c r="B54" s="98" t="s">
        <v>116</v>
      </c>
      <c r="C54" s="105">
        <v>0.01</v>
      </c>
      <c r="D54" s="98" t="s">
        <v>273</v>
      </c>
    </row>
    <row r="55" spans="1:4" ht="45">
      <c r="A55" s="98" t="s">
        <v>259</v>
      </c>
      <c r="B55" s="98" t="s">
        <v>332</v>
      </c>
      <c r="C55" s="105">
        <v>0.01</v>
      </c>
      <c r="D55" s="98" t="s">
        <v>273</v>
      </c>
    </row>
    <row r="56" spans="1:4" ht="22.5">
      <c r="A56" s="98" t="s">
        <v>260</v>
      </c>
      <c r="B56" s="98" t="s">
        <v>133</v>
      </c>
      <c r="C56" s="105">
        <v>0.01</v>
      </c>
      <c r="D56" s="98" t="s">
        <v>273</v>
      </c>
    </row>
    <row r="57" spans="1:4">
      <c r="A57" s="98" t="s">
        <v>261</v>
      </c>
      <c r="B57" s="98" t="s">
        <v>262</v>
      </c>
      <c r="C57" s="105">
        <v>0.01</v>
      </c>
      <c r="D57" s="98" t="s">
        <v>273</v>
      </c>
    </row>
    <row r="58" spans="1:4" ht="22.5">
      <c r="A58" s="98" t="s">
        <v>263</v>
      </c>
      <c r="B58" s="98" t="s">
        <v>146</v>
      </c>
      <c r="C58" s="105">
        <v>0.01</v>
      </c>
      <c r="D58" s="98" t="s">
        <v>273</v>
      </c>
    </row>
    <row r="59" spans="1:4" ht="22.5">
      <c r="A59" s="98" t="s">
        <v>264</v>
      </c>
      <c r="B59" s="98" t="s">
        <v>149</v>
      </c>
      <c r="C59" s="105">
        <v>0.01</v>
      </c>
      <c r="D59" s="98" t="s">
        <v>273</v>
      </c>
    </row>
    <row r="60" spans="1:4">
      <c r="C60" s="78">
        <f>SUM(C54:C59)</f>
        <v>6.0000000000000005E-2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08427-CD32-4067-9643-FB324543432B}">
  <dimension ref="A1:E23"/>
  <sheetViews>
    <sheetView workbookViewId="0">
      <selection activeCell="C20" sqref="C20"/>
    </sheetView>
  </sheetViews>
  <sheetFormatPr defaultRowHeight="15"/>
  <cols>
    <col min="1" max="1" width="20.5703125" customWidth="1"/>
    <col min="2" max="2" width="64.28515625" customWidth="1"/>
    <col min="3" max="3" width="47.85546875" customWidth="1"/>
    <col min="4" max="4" width="8.85546875" bestFit="1" customWidth="1"/>
  </cols>
  <sheetData>
    <row r="1" spans="1:5" ht="15.75" thickBot="1">
      <c r="A1" s="58" t="s">
        <v>0</v>
      </c>
      <c r="B1" s="58" t="s">
        <v>1</v>
      </c>
    </row>
    <row r="2" spans="1:5">
      <c r="A2" s="148" t="s">
        <v>16</v>
      </c>
      <c r="B2" s="59" t="s">
        <v>17</v>
      </c>
    </row>
    <row r="3" spans="1:5">
      <c r="A3" s="149"/>
      <c r="B3" s="59" t="s">
        <v>23</v>
      </c>
    </row>
    <row r="4" spans="1:5">
      <c r="A4" s="149"/>
      <c r="B4" s="59" t="s">
        <v>28</v>
      </c>
    </row>
    <row r="5" spans="1:5">
      <c r="A5" s="149" t="s">
        <v>65</v>
      </c>
      <c r="B5" s="59" t="s">
        <v>219</v>
      </c>
    </row>
    <row r="6" spans="1:5">
      <c r="A6" s="149"/>
      <c r="B6" s="59" t="s">
        <v>66</v>
      </c>
    </row>
    <row r="7" spans="1:5">
      <c r="A7" s="149"/>
      <c r="B7" s="59" t="s">
        <v>102</v>
      </c>
    </row>
    <row r="8" spans="1:5">
      <c r="A8" s="149"/>
      <c r="B8" s="59" t="s">
        <v>241</v>
      </c>
    </row>
    <row r="9" spans="1:5">
      <c r="A9" s="149"/>
      <c r="B9" s="59" t="s">
        <v>110</v>
      </c>
    </row>
    <row r="10" spans="1:5">
      <c r="A10" s="59" t="s">
        <v>114</v>
      </c>
      <c r="B10" s="59" t="s">
        <v>115</v>
      </c>
    </row>
    <row r="13" spans="1:5" ht="15.75" thickBot="1"/>
    <row r="14" spans="1:5" ht="23.25" thickBot="1">
      <c r="A14" s="60" t="s">
        <v>0</v>
      </c>
      <c r="B14" s="61" t="s">
        <v>212</v>
      </c>
      <c r="C14" s="60" t="s">
        <v>1</v>
      </c>
      <c r="D14" s="61" t="s">
        <v>314</v>
      </c>
      <c r="E14" s="61" t="s">
        <v>212</v>
      </c>
    </row>
    <row r="15" spans="1:5" ht="15.75" thickBot="1">
      <c r="A15" s="150" t="s">
        <v>16</v>
      </c>
      <c r="B15" s="153">
        <v>0.45</v>
      </c>
      <c r="C15" s="62" t="s">
        <v>17</v>
      </c>
      <c r="D15" s="62">
        <v>3</v>
      </c>
      <c r="E15" s="63">
        <v>0.17</v>
      </c>
    </row>
    <row r="16" spans="1:5" ht="15.75" thickBot="1">
      <c r="A16" s="151"/>
      <c r="B16" s="154"/>
      <c r="C16" s="64" t="s">
        <v>23</v>
      </c>
      <c r="D16" s="64">
        <v>4</v>
      </c>
      <c r="E16" s="65">
        <v>0.13</v>
      </c>
    </row>
    <row r="17" spans="1:5" ht="15.75" thickBot="1">
      <c r="A17" s="152"/>
      <c r="B17" s="155"/>
      <c r="C17" s="62" t="s">
        <v>28</v>
      </c>
      <c r="D17" s="62">
        <v>10</v>
      </c>
      <c r="E17" s="63">
        <v>0.15</v>
      </c>
    </row>
    <row r="18" spans="1:5" ht="15.75" thickBot="1">
      <c r="A18" s="156" t="s">
        <v>65</v>
      </c>
      <c r="B18" s="159">
        <v>0.45</v>
      </c>
      <c r="C18" s="66" t="s">
        <v>219</v>
      </c>
      <c r="D18" s="66">
        <v>5</v>
      </c>
      <c r="E18" s="67">
        <v>0.11</v>
      </c>
    </row>
    <row r="19" spans="1:5" ht="15.75" thickBot="1">
      <c r="A19" s="157"/>
      <c r="B19" s="160"/>
      <c r="C19" s="68" t="s">
        <v>66</v>
      </c>
      <c r="D19" s="68">
        <v>8</v>
      </c>
      <c r="E19" s="69">
        <v>0.12</v>
      </c>
    </row>
    <row r="20" spans="1:5" ht="15.75" thickBot="1">
      <c r="A20" s="157"/>
      <c r="B20" s="160"/>
      <c r="C20" s="66" t="s">
        <v>102</v>
      </c>
      <c r="D20" s="66">
        <v>3</v>
      </c>
      <c r="E20" s="67">
        <v>0.05</v>
      </c>
    </row>
    <row r="21" spans="1:5" ht="15.75" thickBot="1">
      <c r="A21" s="157"/>
      <c r="B21" s="160"/>
      <c r="C21" s="68" t="s">
        <v>241</v>
      </c>
      <c r="D21" s="68">
        <v>5</v>
      </c>
      <c r="E21" s="69">
        <v>7.0000000000000007E-2</v>
      </c>
    </row>
    <row r="22" spans="1:5" ht="15.75" thickBot="1">
      <c r="A22" s="158"/>
      <c r="B22" s="161"/>
      <c r="C22" s="66" t="s">
        <v>110</v>
      </c>
      <c r="D22" s="66">
        <v>4</v>
      </c>
      <c r="E22" s="67">
        <v>0.1</v>
      </c>
    </row>
    <row r="23" spans="1:5" ht="15.75" thickBot="1">
      <c r="A23" s="70" t="s">
        <v>114</v>
      </c>
      <c r="B23" s="71">
        <v>0.1</v>
      </c>
      <c r="C23" s="70" t="s">
        <v>115</v>
      </c>
      <c r="D23" s="70">
        <v>10</v>
      </c>
      <c r="E23" s="71">
        <v>0.1</v>
      </c>
    </row>
  </sheetData>
  <mergeCells count="6">
    <mergeCell ref="A2:A4"/>
    <mergeCell ref="A5:A9"/>
    <mergeCell ref="A15:A17"/>
    <mergeCell ref="B15:B17"/>
    <mergeCell ref="A18:A22"/>
    <mergeCell ref="B18:B2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f0f6ba7-fef5-4bf5-ac69-6c9dd315c6db">
      <Terms xmlns="http://schemas.microsoft.com/office/infopath/2007/PartnerControls"/>
    </lcf76f155ced4ddcb4097134ff3c332f>
    <TaxCatchAll xmlns="c3947622-a6c8-4ba1-8925-5569345b86d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0B4924BE82B6345A6552A37B30AD11D" ma:contentTypeVersion="14" ma:contentTypeDescription="Create a new document." ma:contentTypeScope="" ma:versionID="f963819c5f6c8103a45643815a9750a7">
  <xsd:schema xmlns:xsd="http://www.w3.org/2001/XMLSchema" xmlns:xs="http://www.w3.org/2001/XMLSchema" xmlns:p="http://schemas.microsoft.com/office/2006/metadata/properties" xmlns:ns2="3f0f6ba7-fef5-4bf5-ac69-6c9dd315c6db" xmlns:ns3="c3947622-a6c8-4ba1-8925-5569345b86d3" targetNamespace="http://schemas.microsoft.com/office/2006/metadata/properties" ma:root="true" ma:fieldsID="dfda3fc5fa95d622f7e307a10d9a71eb" ns2:_="" ns3:_="">
    <xsd:import namespace="3f0f6ba7-fef5-4bf5-ac69-6c9dd315c6db"/>
    <xsd:import namespace="c3947622-a6c8-4ba1-8925-5569345b86d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f6ba7-fef5-4bf5-ac69-6c9dd315c6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c0a45ee-8771-4b9b-8262-76eb4a5fdb71"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947622-a6c8-4ba1-8925-5569345b86d3"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17e95c1a-9f4d-4067-82b2-489dff238cfd}" ma:internalName="TaxCatchAll" ma:showField="CatchAllData" ma:web="c3947622-a6c8-4ba1-8925-5569345b86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6D44E2-12DB-4B2A-96A6-DA08D924590D}">
  <ds:schemaRefs>
    <ds:schemaRef ds:uri="http://schemas.microsoft.com/office/2006/metadata/properties"/>
    <ds:schemaRef ds:uri="http://schemas.microsoft.com/office/infopath/2007/PartnerControls"/>
    <ds:schemaRef ds:uri="3f0f6ba7-fef5-4bf5-ac69-6c9dd315c6db"/>
    <ds:schemaRef ds:uri="c3947622-a6c8-4ba1-8925-5569345b86d3"/>
  </ds:schemaRefs>
</ds:datastoreItem>
</file>

<file path=customXml/itemProps2.xml><?xml version="1.0" encoding="utf-8"?>
<ds:datastoreItem xmlns:ds="http://schemas.openxmlformats.org/officeDocument/2006/customXml" ds:itemID="{29F46180-59F7-484F-909E-048FA4F9B0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f6ba7-fef5-4bf5-ac69-6c9dd315c6db"/>
    <ds:schemaRef ds:uri="c3947622-a6c8-4ba1-8925-5569345b86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E45914-61B3-4465-AC66-F859CCF87E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QS Hub_Sustainability Form</vt:lpstr>
      <vt:lpstr>CUD Website Draft</vt:lpstr>
      <vt:lpstr>Sheet4</vt:lpstr>
      <vt:lpstr>Notes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Drew MacFarlane</dc:creator>
  <cp:keywords/>
  <dc:description/>
  <cp:lastModifiedBy>Caden Puah</cp:lastModifiedBy>
  <cp:revision/>
  <dcterms:created xsi:type="dcterms:W3CDTF">2023-05-04T08:49:33Z</dcterms:created>
  <dcterms:modified xsi:type="dcterms:W3CDTF">2026-03-30T13:21:51Z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0x010100C0B4924BE82B6345A6552A37B30AD11D</vt:lpwstr>
  </property>
</Properties>
</file>